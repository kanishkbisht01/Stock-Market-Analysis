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ishk\OneDrive\Desktop\DATA ANALYSIS PROJECT\STOCK MARKET ANALYSIS\"/>
    </mc:Choice>
  </mc:AlternateContent>
  <xr:revisionPtr revIDLastSave="0" documentId="13_ncr:1_{279344AB-664D-459A-A70F-444A0AF8CED8}" xr6:coauthVersionLast="47" xr6:coauthVersionMax="47" xr10:uidLastSave="{00000000-0000-0000-0000-000000000000}"/>
  <bookViews>
    <workbookView xWindow="-108" yWindow="-108" windowWidth="23256" windowHeight="13176" activeTab="4" xr2:uid="{D6FED247-714D-4E80-B313-5754A591C3A5}"/>
  </bookViews>
  <sheets>
    <sheet name="2024" sheetId="1" r:id="rId1"/>
    <sheet name="2025" sheetId="2" r:id="rId2"/>
    <sheet name="NIFTY 50 Smart Analysis" sheetId="3" r:id="rId3"/>
    <sheet name="Sector Analysis" sheetId="6" r:id="rId4"/>
    <sheet name="DASHBOARD" sheetId="4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L15" i="4" s="1"/>
  <c r="B2" i="4" a="1"/>
  <c r="B2" i="4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2" i="3"/>
  <c r="P5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2" i="3"/>
  <c r="E3" i="3"/>
  <c r="N3" i="3" s="1"/>
  <c r="E4" i="3"/>
  <c r="N4" i="3" s="1"/>
  <c r="E5" i="3"/>
  <c r="N5" i="3" s="1"/>
  <c r="E6" i="3"/>
  <c r="N6" i="3" s="1"/>
  <c r="E7" i="3"/>
  <c r="N7" i="3" s="1"/>
  <c r="E8" i="3"/>
  <c r="N8" i="3" s="1"/>
  <c r="E9" i="3"/>
  <c r="N9" i="3" s="1"/>
  <c r="E10" i="3"/>
  <c r="N10" i="3" s="1"/>
  <c r="E11" i="3"/>
  <c r="N11" i="3" s="1"/>
  <c r="E12" i="3"/>
  <c r="N12" i="3" s="1"/>
  <c r="E13" i="3"/>
  <c r="N13" i="3" s="1"/>
  <c r="E14" i="3"/>
  <c r="N14" i="3" s="1"/>
  <c r="E15" i="3"/>
  <c r="N15" i="3" s="1"/>
  <c r="E16" i="3"/>
  <c r="N16" i="3" s="1"/>
  <c r="E17" i="3"/>
  <c r="N17" i="3" s="1"/>
  <c r="E18" i="3"/>
  <c r="N18" i="3" s="1"/>
  <c r="E19" i="3"/>
  <c r="N19" i="3" s="1"/>
  <c r="E20" i="3"/>
  <c r="N20" i="3" s="1"/>
  <c r="E21" i="3"/>
  <c r="N21" i="3" s="1"/>
  <c r="E22" i="3"/>
  <c r="N22" i="3" s="1"/>
  <c r="E23" i="3"/>
  <c r="N23" i="3" s="1"/>
  <c r="E24" i="3"/>
  <c r="N24" i="3" s="1"/>
  <c r="E25" i="3"/>
  <c r="N25" i="3" s="1"/>
  <c r="E26" i="3"/>
  <c r="N26" i="3" s="1"/>
  <c r="E27" i="3"/>
  <c r="N27" i="3" s="1"/>
  <c r="E28" i="3"/>
  <c r="N28" i="3" s="1"/>
  <c r="E29" i="3"/>
  <c r="N29" i="3" s="1"/>
  <c r="E30" i="3"/>
  <c r="N30" i="3" s="1"/>
  <c r="E31" i="3"/>
  <c r="N31" i="3" s="1"/>
  <c r="E32" i="3"/>
  <c r="N32" i="3" s="1"/>
  <c r="E33" i="3"/>
  <c r="N33" i="3" s="1"/>
  <c r="E34" i="3"/>
  <c r="N34" i="3" s="1"/>
  <c r="E35" i="3"/>
  <c r="N35" i="3" s="1"/>
  <c r="E36" i="3"/>
  <c r="N36" i="3" s="1"/>
  <c r="E37" i="3"/>
  <c r="N37" i="3" s="1"/>
  <c r="E38" i="3"/>
  <c r="N38" i="3" s="1"/>
  <c r="E39" i="3"/>
  <c r="N39" i="3" s="1"/>
  <c r="E40" i="3"/>
  <c r="N40" i="3" s="1"/>
  <c r="E41" i="3"/>
  <c r="N41" i="3" s="1"/>
  <c r="E42" i="3"/>
  <c r="N42" i="3" s="1"/>
  <c r="E43" i="3"/>
  <c r="N43" i="3" s="1"/>
  <c r="E44" i="3"/>
  <c r="N44" i="3" s="1"/>
  <c r="E45" i="3"/>
  <c r="N45" i="3" s="1"/>
  <c r="E46" i="3"/>
  <c r="N46" i="3" s="1"/>
  <c r="E47" i="3"/>
  <c r="N47" i="3" s="1"/>
  <c r="E48" i="3"/>
  <c r="N48" i="3" s="1"/>
  <c r="E49" i="3"/>
  <c r="N49" i="3" s="1"/>
  <c r="E50" i="3"/>
  <c r="N50" i="3" s="1"/>
  <c r="E51" i="3"/>
  <c r="N51" i="3" s="1"/>
  <c r="E2" i="3"/>
  <c r="N2" i="3" s="1"/>
  <c r="D3" i="3"/>
  <c r="M3" i="3" s="1"/>
  <c r="D4" i="3"/>
  <c r="M4" i="3" s="1"/>
  <c r="D5" i="3"/>
  <c r="P4" i="3" s="1"/>
  <c r="D6" i="3"/>
  <c r="M6" i="3" s="1"/>
  <c r="D7" i="3"/>
  <c r="M7" i="3" s="1"/>
  <c r="D8" i="3"/>
  <c r="M8" i="3" s="1"/>
  <c r="D9" i="3"/>
  <c r="P8" i="3" s="1"/>
  <c r="D10" i="3"/>
  <c r="M10" i="3" s="1"/>
  <c r="D11" i="3"/>
  <c r="M11" i="3" s="1"/>
  <c r="D12" i="3"/>
  <c r="M12" i="3" s="1"/>
  <c r="D13" i="3"/>
  <c r="P12" i="3" s="1"/>
  <c r="D14" i="3"/>
  <c r="M14" i="3" s="1"/>
  <c r="D15" i="3"/>
  <c r="M15" i="3" s="1"/>
  <c r="D16" i="3"/>
  <c r="P15" i="3" s="1"/>
  <c r="D17" i="3"/>
  <c r="P16" i="3" s="1"/>
  <c r="D18" i="3"/>
  <c r="M18" i="3" s="1"/>
  <c r="D19" i="3"/>
  <c r="P18" i="3" s="1"/>
  <c r="D20" i="3"/>
  <c r="P19" i="3" s="1"/>
  <c r="D21" i="3"/>
  <c r="P20" i="3" s="1"/>
  <c r="D22" i="3"/>
  <c r="M22" i="3" s="1"/>
  <c r="D23" i="3"/>
  <c r="M23" i="3" s="1"/>
  <c r="D24" i="3"/>
  <c r="M24" i="3" s="1"/>
  <c r="D25" i="3"/>
  <c r="P24" i="3" s="1"/>
  <c r="D26" i="3"/>
  <c r="P25" i="3" s="1"/>
  <c r="D27" i="3"/>
  <c r="P26" i="3" s="1"/>
  <c r="D28" i="3"/>
  <c r="P27" i="3" s="1"/>
  <c r="D29" i="3"/>
  <c r="P28" i="3" s="1"/>
  <c r="D30" i="3"/>
  <c r="P29" i="3" s="1"/>
  <c r="D31" i="3"/>
  <c r="P30" i="3" s="1"/>
  <c r="D32" i="3"/>
  <c r="M32" i="3" s="1"/>
  <c r="D33" i="3"/>
  <c r="P32" i="3" s="1"/>
  <c r="D34" i="3"/>
  <c r="D35" i="3"/>
  <c r="P34" i="3" s="1"/>
  <c r="D36" i="3"/>
  <c r="P35" i="3" s="1"/>
  <c r="D37" i="3"/>
  <c r="M37" i="3" s="1"/>
  <c r="D38" i="3"/>
  <c r="D39" i="3"/>
  <c r="M39" i="3" s="1"/>
  <c r="D40" i="3"/>
  <c r="P39" i="3" s="1"/>
  <c r="D41" i="3"/>
  <c r="M41" i="3" s="1"/>
  <c r="D42" i="3"/>
  <c r="M42" i="3" s="1"/>
  <c r="D43" i="3"/>
  <c r="P42" i="3" s="1"/>
  <c r="D44" i="3"/>
  <c r="P43" i="3" s="1"/>
  <c r="D45" i="3"/>
  <c r="P44" i="3" s="1"/>
  <c r="D46" i="3"/>
  <c r="D47" i="3"/>
  <c r="M47" i="3" s="1"/>
  <c r="D48" i="3"/>
  <c r="P47" i="3" s="1"/>
  <c r="D49" i="3"/>
  <c r="P48" i="3" s="1"/>
  <c r="D50" i="3"/>
  <c r="M50" i="3" s="1"/>
  <c r="D51" i="3"/>
  <c r="M51" i="3" s="1"/>
  <c r="D2" i="3"/>
  <c r="M2" i="3" s="1"/>
  <c r="C2" i="3"/>
  <c r="I49" i="3" l="1"/>
  <c r="L2" i="3"/>
  <c r="M45" i="3"/>
  <c r="M26" i="3"/>
  <c r="P2" i="3"/>
  <c r="I33" i="3"/>
  <c r="I17" i="3"/>
  <c r="I2" i="3"/>
  <c r="I38" i="3"/>
  <c r="I46" i="3"/>
  <c r="I34" i="3"/>
  <c r="M21" i="3"/>
  <c r="I45" i="3"/>
  <c r="I29" i="3"/>
  <c r="I13" i="3"/>
  <c r="M5" i="3"/>
  <c r="P46" i="3"/>
  <c r="I41" i="3"/>
  <c r="I25" i="3"/>
  <c r="I9" i="3"/>
  <c r="M35" i="3"/>
  <c r="P36" i="3"/>
  <c r="I37" i="3"/>
  <c r="I21" i="3"/>
  <c r="I5" i="3"/>
  <c r="M38" i="3"/>
  <c r="M17" i="3"/>
  <c r="M31" i="3"/>
  <c r="M34" i="3"/>
  <c r="P50" i="3"/>
  <c r="P45" i="3"/>
  <c r="P40" i="3"/>
  <c r="P33" i="3"/>
  <c r="I48" i="3"/>
  <c r="I44" i="3"/>
  <c r="I40" i="3"/>
  <c r="I36" i="3"/>
  <c r="I32" i="3"/>
  <c r="I28" i="3"/>
  <c r="I24" i="3"/>
  <c r="I20" i="3"/>
  <c r="I16" i="3"/>
  <c r="I12" i="3"/>
  <c r="I8" i="3"/>
  <c r="I4" i="3"/>
  <c r="P41" i="3"/>
  <c r="M49" i="3"/>
  <c r="M33" i="3"/>
  <c r="M13" i="3"/>
  <c r="M30" i="3"/>
  <c r="M43" i="3"/>
  <c r="P17" i="3"/>
  <c r="P49" i="3"/>
  <c r="P38" i="3"/>
  <c r="I51" i="3"/>
  <c r="I47" i="3"/>
  <c r="I43" i="3"/>
  <c r="I39" i="3"/>
  <c r="I35" i="3"/>
  <c r="I31" i="3"/>
  <c r="I27" i="3"/>
  <c r="I23" i="3"/>
  <c r="I19" i="3"/>
  <c r="I15" i="3"/>
  <c r="I11" i="3"/>
  <c r="I7" i="3"/>
  <c r="I3" i="3"/>
  <c r="M25" i="3"/>
  <c r="M9" i="3"/>
  <c r="M46" i="3"/>
  <c r="P37" i="3"/>
  <c r="L4" i="3"/>
  <c r="I50" i="3"/>
  <c r="I42" i="3"/>
  <c r="I30" i="3"/>
  <c r="I26" i="3"/>
  <c r="I22" i="3"/>
  <c r="I18" i="3"/>
  <c r="I14" i="3"/>
  <c r="I10" i="3"/>
  <c r="I6" i="3"/>
  <c r="M40" i="3"/>
  <c r="M28" i="3"/>
  <c r="P11" i="3"/>
  <c r="P7" i="3"/>
  <c r="P3" i="3"/>
  <c r="P31" i="3"/>
  <c r="P23" i="3"/>
  <c r="M27" i="3"/>
  <c r="M20" i="3"/>
  <c r="M16" i="3"/>
  <c r="P10" i="3"/>
  <c r="P6" i="3"/>
  <c r="P14" i="3"/>
  <c r="P22" i="3"/>
  <c r="M19" i="3"/>
  <c r="P9" i="3"/>
  <c r="P5" i="3"/>
  <c r="P13" i="3"/>
  <c r="P21" i="3"/>
  <c r="M48" i="3"/>
  <c r="M29" i="3"/>
  <c r="M36" i="3"/>
  <c r="M44" i="3"/>
  <c r="L49" i="3"/>
  <c r="L45" i="3"/>
  <c r="L41" i="3"/>
  <c r="L37" i="3"/>
  <c r="L33" i="3"/>
  <c r="L29" i="3"/>
  <c r="L25" i="3"/>
  <c r="L21" i="3"/>
  <c r="L17" i="3"/>
  <c r="L13" i="3"/>
  <c r="L9" i="3"/>
  <c r="L5" i="3"/>
  <c r="L48" i="3"/>
  <c r="L44" i="3"/>
  <c r="L40" i="3"/>
  <c r="L36" i="3"/>
  <c r="L32" i="3"/>
  <c r="L28" i="3"/>
  <c r="L24" i="3"/>
  <c r="L20" i="3"/>
  <c r="L16" i="3"/>
  <c r="L12" i="3"/>
  <c r="L8" i="3"/>
  <c r="J50" i="3"/>
  <c r="O50" i="3" s="1"/>
  <c r="L46" i="3"/>
  <c r="L42" i="3"/>
  <c r="J38" i="3"/>
  <c r="O38" i="3" s="1"/>
  <c r="L34" i="3"/>
  <c r="L30" i="3"/>
  <c r="L26" i="3"/>
  <c r="L22" i="3"/>
  <c r="L18" i="3"/>
  <c r="L14" i="3"/>
  <c r="L10" i="3"/>
  <c r="L6" i="3"/>
  <c r="L3" i="3"/>
  <c r="J3" i="3"/>
  <c r="O3" i="3" s="1"/>
  <c r="L47" i="3"/>
  <c r="J47" i="3"/>
  <c r="O47" i="3" s="1"/>
  <c r="L39" i="3"/>
  <c r="J39" i="3"/>
  <c r="O39" i="3" s="1"/>
  <c r="L31" i="3"/>
  <c r="J31" i="3"/>
  <c r="O31" i="3" s="1"/>
  <c r="L23" i="3"/>
  <c r="J23" i="3"/>
  <c r="O23" i="3" s="1"/>
  <c r="L15" i="3"/>
  <c r="J15" i="3"/>
  <c r="O15" i="3" s="1"/>
  <c r="L7" i="3"/>
  <c r="J7" i="3"/>
  <c r="O7" i="3" s="1"/>
  <c r="J46" i="3"/>
  <c r="O46" i="3" s="1"/>
  <c r="J30" i="3"/>
  <c r="O30" i="3" s="1"/>
  <c r="J14" i="3"/>
  <c r="O14" i="3" s="1"/>
  <c r="L38" i="3"/>
  <c r="J42" i="3"/>
  <c r="O42" i="3" s="1"/>
  <c r="J26" i="3"/>
  <c r="O26" i="3" s="1"/>
  <c r="J10" i="3"/>
  <c r="O10" i="3" s="1"/>
  <c r="L50" i="3"/>
  <c r="L51" i="3"/>
  <c r="J51" i="3"/>
  <c r="O51" i="3" s="1"/>
  <c r="L43" i="3"/>
  <c r="J43" i="3"/>
  <c r="O43" i="3" s="1"/>
  <c r="L35" i="3"/>
  <c r="J35" i="3"/>
  <c r="O35" i="3" s="1"/>
  <c r="L27" i="3"/>
  <c r="J27" i="3"/>
  <c r="O27" i="3" s="1"/>
  <c r="L19" i="3"/>
  <c r="J19" i="3"/>
  <c r="O19" i="3" s="1"/>
  <c r="L11" i="3"/>
  <c r="J11" i="3"/>
  <c r="O11" i="3" s="1"/>
  <c r="J22" i="3"/>
  <c r="O22" i="3" s="1"/>
  <c r="J6" i="3"/>
  <c r="O6" i="3" s="1"/>
  <c r="J34" i="3"/>
  <c r="O34" i="3" s="1"/>
  <c r="J18" i="3"/>
  <c r="O18" i="3" s="1"/>
  <c r="J2" i="3"/>
  <c r="O2" i="3" s="1"/>
  <c r="J48" i="3"/>
  <c r="O48" i="3" s="1"/>
  <c r="J44" i="3"/>
  <c r="O44" i="3" s="1"/>
  <c r="J40" i="3"/>
  <c r="O40" i="3" s="1"/>
  <c r="J36" i="3"/>
  <c r="O36" i="3" s="1"/>
  <c r="J32" i="3"/>
  <c r="O32" i="3" s="1"/>
  <c r="J28" i="3"/>
  <c r="O28" i="3" s="1"/>
  <c r="J24" i="3"/>
  <c r="O24" i="3" s="1"/>
  <c r="J20" i="3"/>
  <c r="O20" i="3" s="1"/>
  <c r="J16" i="3"/>
  <c r="O16" i="3" s="1"/>
  <c r="J12" i="3"/>
  <c r="O12" i="3" s="1"/>
  <c r="J8" i="3"/>
  <c r="O8" i="3" s="1"/>
  <c r="J4" i="3"/>
  <c r="O4" i="3" s="1"/>
  <c r="J49" i="3"/>
  <c r="O49" i="3" s="1"/>
  <c r="J45" i="3"/>
  <c r="O45" i="3" s="1"/>
  <c r="J41" i="3"/>
  <c r="O41" i="3" s="1"/>
  <c r="J37" i="3"/>
  <c r="O37" i="3" s="1"/>
  <c r="J33" i="3"/>
  <c r="O33" i="3" s="1"/>
  <c r="J29" i="3"/>
  <c r="O29" i="3" s="1"/>
  <c r="J25" i="3"/>
  <c r="O25" i="3" s="1"/>
  <c r="J21" i="3"/>
  <c r="O21" i="3" s="1"/>
  <c r="J17" i="3"/>
  <c r="O17" i="3" s="1"/>
  <c r="J13" i="3"/>
  <c r="O13" i="3" s="1"/>
  <c r="J9" i="3"/>
  <c r="O9" i="3" s="1"/>
  <c r="J5" i="3"/>
  <c r="O5" i="3" s="1"/>
  <c r="L14" i="4" l="1"/>
  <c r="L9" i="4"/>
  <c r="L10" i="4"/>
  <c r="L11" i="4"/>
  <c r="L12" i="4"/>
  <c r="L8" i="4"/>
  <c r="L13" i="4"/>
  <c r="L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<sst xmlns="http://schemas.openxmlformats.org/spreadsheetml/2006/main" count="399" uniqueCount="122">
  <si>
    <t xml:space="preserve">COMPANY NAME </t>
  </si>
  <si>
    <t>YEAR</t>
  </si>
  <si>
    <t>HIGH</t>
  </si>
  <si>
    <t>LOW</t>
  </si>
  <si>
    <t>CLOSE</t>
  </si>
  <si>
    <t>GROWTH %</t>
  </si>
  <si>
    <t>SECTOR</t>
  </si>
  <si>
    <t>FII</t>
  </si>
  <si>
    <t>DII</t>
  </si>
  <si>
    <t>PUBLIC</t>
  </si>
  <si>
    <t>PROMOTERS</t>
  </si>
  <si>
    <t>P/E Ratio (TIMES)</t>
  </si>
  <si>
    <t>EPS (Earnings Per Share)</t>
  </si>
  <si>
    <t>ROE (%)</t>
  </si>
  <si>
    <t>Beta (β)</t>
  </si>
  <si>
    <t>SECTOR AVG PE</t>
  </si>
  <si>
    <t>Adani Enterprises Ltd.</t>
  </si>
  <si>
    <t>Adani Ports and Special Economic Zone Ltd.</t>
  </si>
  <si>
    <t>Apollo Hospitals Enterprise Ltd.</t>
  </si>
  <si>
    <t>Asian Paints Ltd.</t>
  </si>
  <si>
    <t>Axis Bank Ltd.</t>
  </si>
  <si>
    <t>Bajaj Auto Ltd.</t>
  </si>
  <si>
    <t>Bajaj Finance Ltd.</t>
  </si>
  <si>
    <t>Bajaj Finserv Ltd.</t>
  </si>
  <si>
    <t>Bharat Electronics Ltd.</t>
  </si>
  <si>
    <t>Bharti Airtel Ltd.</t>
  </si>
  <si>
    <t>Cipla Ltd.</t>
  </si>
  <si>
    <t>Coal India Ltd.</t>
  </si>
  <si>
    <t>Dr. Reddy's Laboratories Ltd.</t>
  </si>
  <si>
    <t>Eicher Motors Ltd.</t>
  </si>
  <si>
    <t>Eternal Ltd.</t>
  </si>
  <si>
    <t>Grasim Industries Ltd.</t>
  </si>
  <si>
    <t>HCL Technologies Ltd.</t>
  </si>
  <si>
    <t>HDFC Bank Ltd.</t>
  </si>
  <si>
    <t>HDFC Life Insurance Company Ltd.</t>
  </si>
  <si>
    <t>Hindalco Industries Ltd.</t>
  </si>
  <si>
    <t>Hindustan Unilever Ltd.</t>
  </si>
  <si>
    <t>ICICI Bank Ltd.</t>
  </si>
  <si>
    <t>ITC Ltd.</t>
  </si>
  <si>
    <t>Infosys Ltd.</t>
  </si>
  <si>
    <t>InterGlobe Aviation Ltd.</t>
  </si>
  <si>
    <t>JSW Steel Ltd.</t>
  </si>
  <si>
    <t>Jio Financial Services Ltd.</t>
  </si>
  <si>
    <t>Kotak Mahindra Bank Ltd.</t>
  </si>
  <si>
    <t>Larsen &amp; Toubro Ltd.</t>
  </si>
  <si>
    <t>Mahindra &amp; Mahindra Ltd.</t>
  </si>
  <si>
    <t>Maruti Suzuki India Ltd.</t>
  </si>
  <si>
    <t>Max Healthcare Institute Ltd.</t>
  </si>
  <si>
    <t>NTPC Ltd.</t>
  </si>
  <si>
    <t>Nestle India Ltd.</t>
  </si>
  <si>
    <t>Oil &amp; Natural Gas Corporation Ltd.</t>
  </si>
  <si>
    <t>Power Grid Corporation of India Ltd.</t>
  </si>
  <si>
    <t>Reliance Industries Ltd.</t>
  </si>
  <si>
    <t>SBI Life Insurance Company Ltd.</t>
  </si>
  <si>
    <t>Shriram Finance Ltd.</t>
  </si>
  <si>
    <t>State Bank of India</t>
  </si>
  <si>
    <t>Sun Pharmaceutical Industries Ltd.</t>
  </si>
  <si>
    <t>Tata Consultancy Services Ltd.</t>
  </si>
  <si>
    <t>Tata Consumer Products Ltd.</t>
  </si>
  <si>
    <t>Tata Motors Passenger Vehicles Ltd.</t>
  </si>
  <si>
    <t>Tata Steel Ltd.</t>
  </si>
  <si>
    <t>Tech Mahindra Ltd.</t>
  </si>
  <si>
    <t>Titan Company Ltd.</t>
  </si>
  <si>
    <t>Trent Ltd.</t>
  </si>
  <si>
    <t>UltraTech Cement Ltd.</t>
  </si>
  <si>
    <t>Wipro Ltd.</t>
  </si>
  <si>
    <t>Diversified</t>
  </si>
  <si>
    <t>Infrastructure</t>
  </si>
  <si>
    <t>Hospitals</t>
  </si>
  <si>
    <t>Paints</t>
  </si>
  <si>
    <t>Banking</t>
  </si>
  <si>
    <t>Automobile</t>
  </si>
  <si>
    <t>Financial Services</t>
  </si>
  <si>
    <t>Defense Electronics</t>
  </si>
  <si>
    <t>Telecom</t>
  </si>
  <si>
    <t>Pharmaceuticals</t>
  </si>
  <si>
    <t>Mining</t>
  </si>
  <si>
    <t>Clarify</t>
  </si>
  <si>
    <t>Cement</t>
  </si>
  <si>
    <t>IT Services</t>
  </si>
  <si>
    <t>Insurance</t>
  </si>
  <si>
    <t>Metals</t>
  </si>
  <si>
    <t>FMCG</t>
  </si>
  <si>
    <t>Aviation</t>
  </si>
  <si>
    <t>Steel</t>
  </si>
  <si>
    <t>Engineering</t>
  </si>
  <si>
    <t>Healthcare</t>
  </si>
  <si>
    <t>Power Generation</t>
  </si>
  <si>
    <t>Oil &amp; Gas</t>
  </si>
  <si>
    <t>Power Transmission</t>
  </si>
  <si>
    <t>Oil &amp; Gas / Telecom / Retail</t>
  </si>
  <si>
    <t>NBFC</t>
  </si>
  <si>
    <t>Consumer Goods</t>
  </si>
  <si>
    <t>Retail</t>
  </si>
  <si>
    <t>VOLUME  IN Cr</t>
  </si>
  <si>
    <t>N/A</t>
  </si>
  <si>
    <t>VOLUME IN Cr</t>
  </si>
  <si>
    <t>REVENUE IN Cr (FY 2024)</t>
  </si>
  <si>
    <t>NET PROFIT IN Cr (FY-2024)</t>
  </si>
  <si>
    <t>MARKET CAP IN 2024(Cr)</t>
  </si>
  <si>
    <t>MARKET CAP IN 2025 (Cr)</t>
  </si>
  <si>
    <t>REVENUE IN Cr (FY 2025)</t>
  </si>
  <si>
    <t>NET PROFIT IN Cr (FY-2025)</t>
  </si>
  <si>
    <t>Revenue Growth (2024-25)</t>
  </si>
  <si>
    <t>Profit Growth</t>
  </si>
  <si>
    <t>Price Growth</t>
  </si>
  <si>
    <t>FII Change</t>
  </si>
  <si>
    <t>DII Change</t>
  </si>
  <si>
    <t>Public Change</t>
  </si>
  <si>
    <t>Promoter Change</t>
  </si>
  <si>
    <t>Total Growth Score</t>
  </si>
  <si>
    <t>Valuation Check</t>
  </si>
  <si>
    <t>Strong / Weak Company</t>
  </si>
  <si>
    <t>Investor Interest</t>
  </si>
  <si>
    <t>Final Rating</t>
  </si>
  <si>
    <t>Price vs Fundamental Check</t>
  </si>
  <si>
    <t>Momentum</t>
  </si>
  <si>
    <t>Signal Type</t>
  </si>
  <si>
    <t>Sector</t>
  </si>
  <si>
    <t>Row Labels</t>
  </si>
  <si>
    <t>Grand Total</t>
  </si>
  <si>
    <t>Average of Total Growth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</si>
</sst>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0" fontId="5" fillId="0" borderId="1" xfId="0" applyNumberFormat="1" applyFont="1" applyBorder="1"/>
    <xf numFmtId="10" fontId="4" fillId="0" borderId="1" xfId="0" applyNumberFormat="1" applyFont="1" applyBorder="1"/>
    <xf numFmtId="10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ANALYSIS.xlsx]Sector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Performing Sectors (2024–2025)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'Sector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'Sector Analysis'!$A$2:$A$12</c:f>
              <c:strCache>
                <c:ptCount val="10"/>
                <c:pt idx="0">
                  <c:v>Automobile</c:v>
                </c:pt>
                <c:pt idx="1">
                  <c:v>Clarify</c:v>
                </c:pt>
                <c:pt idx="2">
                  <c:v>Consumer Goods</c:v>
                </c:pt>
                <c:pt idx="3">
                  <c:v>Defense Electronics</c:v>
                </c:pt>
                <c:pt idx="4">
                  <c:v>FMCG</c:v>
                </c:pt>
                <c:pt idx="5">
                  <c:v>Hospitals</c:v>
                </c:pt>
                <c:pt idx="6">
                  <c:v>Insurance</c:v>
                </c:pt>
                <c:pt idx="7">
                  <c:v>IT Services</c:v>
                </c:pt>
                <c:pt idx="8">
                  <c:v>Oil &amp; Gas / Telecom / Retail</c:v>
                </c:pt>
                <c:pt idx="9">
                  <c:v>Telecom</c:v>
                </c:pt>
              </c:strCache>
            </c:strRef>
          </c:cat>
          <c:val>
            <c:numRef>
              <c:f>'Sector Analysis'!$B$2:$B$12</c:f>
              <c:numCache>
                <c:formatCode>0.00%</c:formatCode>
                <c:ptCount val="10"/>
                <c:pt idx="0">
                  <c:v>0.11411525095698627</c:v>
                </c:pt>
                <c:pt idx="1">
                  <c:v>0.48348197362235096</c:v>
                </c:pt>
                <c:pt idx="2">
                  <c:v>8.9689612862568338E-2</c:v>
                </c:pt>
                <c:pt idx="3">
                  <c:v>0.15928564056967853</c:v>
                </c:pt>
                <c:pt idx="4">
                  <c:v>7.7612949971769429E-2</c:v>
                </c:pt>
                <c:pt idx="5">
                  <c:v>0.18908196464402871</c:v>
                </c:pt>
                <c:pt idx="6">
                  <c:v>0.61376534924321313</c:v>
                </c:pt>
                <c:pt idx="7">
                  <c:v>9.5273382531052234E-2</c:v>
                </c:pt>
                <c:pt idx="8">
                  <c:v>0.12413379178480609</c:v>
                </c:pt>
                <c:pt idx="9">
                  <c:v>0.28540543460563966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A-4F81-91F6-A4CBFE2E5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8280624"/>
        <c:axId val="958286384"/>
      </c:barChart>
      <c:catAx>
        <c:axId val="95828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286384"/>
        <c:crosses val="autoZero"/>
        <c:auto val="1"/>
        <c:lblAlgn val="ctr"/>
        <c:lblOffset val="100"/>
        <c:noMultiLvlLbl val="0"/>
      </c:catAx>
      <c:valAx>
        <c:axId val="95828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28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Growth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80329043906328E-2"/>
          <c:y val="0.13286592459393523"/>
          <c:w val="0.85969753115638714"/>
          <c:h val="0.6158515374584200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EA72E"/>
            </a:solidFill>
            <a:ln>
              <a:noFill/>
            </a:ln>
            <a:effectLst>
              <a:innerShdw blurRad="63500" dist="50800" dir="8100000">
                <a:prstClr val="black">
                  <a:alpha val="50000"/>
                </a:prstClr>
              </a:inn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DASHBOARD!$B$1:$D$1</c:f>
              <c:strCache>
                <c:ptCount val="3"/>
                <c:pt idx="0">
                  <c:v>Revenue Growth (2024-25)</c:v>
                </c:pt>
                <c:pt idx="1">
                  <c:v>Profit Growth</c:v>
                </c:pt>
                <c:pt idx="2">
                  <c:v>Price Growth</c:v>
                </c:pt>
              </c:strCache>
            </c:strRef>
          </c:cat>
          <c:val>
            <c:numRef>
              <c:f>DASHBOARD!$B$2:$D$2</c:f>
              <c:numCache>
                <c:formatCode>0.00%</c:formatCode>
                <c:ptCount val="3"/>
                <c:pt idx="0">
                  <c:v>0.1171098440890055</c:v>
                </c:pt>
                <c:pt idx="1">
                  <c:v>6.4676616915422883E-2</c:v>
                </c:pt>
                <c:pt idx="2">
                  <c:v>0.29607046070460719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>
                    <a:innerShdw blurRad="63500" dist="50800" dir="8100000">
                      <a:prstClr val="black">
                        <a:alpha val="50000"/>
                      </a:prstClr>
                    </a:inn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9607-42BF-92CC-8C5E09CC27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6"/>
        <c:overlap val="-61"/>
        <c:axId val="755200799"/>
        <c:axId val="755174399"/>
      </c:barChart>
      <c:catAx>
        <c:axId val="7552007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5174399"/>
        <c:crosses val="autoZero"/>
        <c:auto val="1"/>
        <c:lblAlgn val="ctr"/>
        <c:lblOffset val="100"/>
        <c:noMultiLvlLbl val="0"/>
      </c:catAx>
      <c:valAx>
        <c:axId val="7551743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00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Shareholding Change (2024–2025)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2078703703703704"/>
          <c:w val="0.86521522309711285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EA72E"/>
            </a:solidFill>
            <a:ln cap="flat">
              <a:solidFill>
                <a:sysClr val="windowText" lastClr="000000">
                  <a:lumMod val="25000"/>
                  <a:lumOff val="75000"/>
                  <a:alpha val="99000"/>
                </a:sysClr>
              </a:solidFill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DASHBOARD!$E$1:$H$1</c:f>
              <c:strCache>
                <c:ptCount val="4"/>
                <c:pt idx="0">
                  <c:v>FII Change</c:v>
                </c:pt>
                <c:pt idx="1">
                  <c:v>DII Change</c:v>
                </c:pt>
                <c:pt idx="2">
                  <c:v>Public Change</c:v>
                </c:pt>
                <c:pt idx="3">
                  <c:v>Promoter Change</c:v>
                </c:pt>
              </c:strCache>
            </c:strRef>
          </c:cat>
          <c:val>
            <c:numRef>
              <c:f>DASHBOARD!$E$2:$H$2</c:f>
              <c:numCache>
                <c:formatCode>0.00%</c:formatCode>
                <c:ptCount val="4"/>
                <c:pt idx="0">
                  <c:v>4.1999999999999815E-3</c:v>
                </c:pt>
                <c:pt idx="1">
                  <c:v>1.6999999999999793E-3</c:v>
                </c:pt>
                <c:pt idx="2">
                  <c:v>-6.0000000000000053E-3</c:v>
                </c:pt>
                <c:pt idx="3">
                  <c:v>9.9999999999988987E-5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cap="flat">
                    <a:solidFill>
                      <a:sysClr val="windowText" lastClr="000000">
                        <a:lumMod val="25000"/>
                        <a:lumOff val="75000"/>
                        <a:alpha val="99000"/>
                      </a:sysClr>
                    </a:solidFill>
                  </a:ln>
                  <a:effectLst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6182-4A61-936C-BFDE3AEF79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3"/>
        <c:overlap val="32"/>
        <c:axId val="755174879"/>
        <c:axId val="755175839"/>
      </c:barChart>
      <c:catAx>
        <c:axId val="7551748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5175839"/>
        <c:crosses val="autoZero"/>
        <c:auto val="1"/>
        <c:lblAlgn val="ctr"/>
        <c:lblOffset val="100"/>
        <c:noMultiLvlLbl val="0"/>
      </c:catAx>
      <c:valAx>
        <c:axId val="7551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74879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13</xdr:col>
      <xdr:colOff>7620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7F5F1-7673-99BB-0788-9DD9A4C1B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4</xdr:row>
      <xdr:rowOff>172825</xdr:rowOff>
    </xdr:from>
    <xdr:to>
      <xdr:col>4</xdr:col>
      <xdr:colOff>329939</xdr:colOff>
      <xdr:row>24</xdr:row>
      <xdr:rowOff>23567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ADCC92-A9E4-6C99-62C4-578B0105D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31422</xdr:colOff>
      <xdr:row>5</xdr:row>
      <xdr:rowOff>23567</xdr:rowOff>
    </xdr:from>
    <xdr:to>
      <xdr:col>9</xdr:col>
      <xdr:colOff>267092</xdr:colOff>
      <xdr:row>23</xdr:row>
      <xdr:rowOff>149259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43C898-061C-BCF7-39DE-A638AECF8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ishk" refreshedDate="46122.421806018516" createdVersion="8" refreshedVersion="8" minRefreshableVersion="3" recordCount="50" xr:uid="{2C89FF94-17F5-4659-8E6A-E186099664CA}">
  <cacheSource type="worksheet">
    <worksheetSource ref="A1:Q51" sheet="NIFTY 50 Smart Analysis"/>
  </cacheSource>
  <cacheFields count="17">
    <cacheField name="COMPANY NAME " numFmtId="0">
      <sharedItems/>
    </cacheField>
    <cacheField name="Revenue Growth (2024-25)" numFmtId="10">
      <sharedItems containsSemiMixedTypes="0" containsString="0" containsNumber="1" minValue="-0.96223596419853541" maxValue="2.4095778748180496"/>
    </cacheField>
    <cacheField name="Profit Growth" numFmtId="10">
      <sharedItems containsSemiMixedTypes="0" containsString="0" containsNumber="1" minValue="-4.2206849625765477" maxValue="1.1252371916508539"/>
    </cacheField>
    <cacheField name="Price Growth" numFmtId="10">
      <sharedItems containsSemiMixedTypes="0" containsString="0" containsNumber="1" minValue="-0.66835443037974684" maxValue="0.41291601288297958"/>
    </cacheField>
    <cacheField name="FII Change" numFmtId="10">
      <sharedItems containsSemiMixedTypes="0" containsString="0" containsNumber="1" minValue="-0.12180000000000002" maxValue="0.19750000000000001"/>
    </cacheField>
    <cacheField name="DII Change" numFmtId="10">
      <sharedItems containsSemiMixedTypes="0" containsString="0" containsNumber="1" minValue="-0.14510000000000001" maxValue="0.1331"/>
    </cacheField>
    <cacheField name="Public Change" numFmtId="10">
      <sharedItems containsSemiMixedTypes="0" containsString="0" containsNumber="1" minValue="-0.18880000000000002" maxValue="7.3099999999999984E-2"/>
    </cacheField>
    <cacheField name="Promoter Change" numFmtId="10">
      <sharedItems containsSemiMixedTypes="0" containsString="0" containsNumber="1" minValue="-0.13709999999999994" maxValue="1.9000000000000683E-3"/>
    </cacheField>
    <cacheField name="Price vs Fundamental Check" numFmtId="10">
      <sharedItems/>
    </cacheField>
    <cacheField name="Total Growth Score" numFmtId="10">
      <sharedItems containsSemiMixedTypes="0" containsString="0" containsNumber="1" minValue="-1.3932290590524568" maxValue="0.92996970133257395"/>
    </cacheField>
    <cacheField name="Valuation Check" numFmtId="0">
      <sharedItems/>
    </cacheField>
    <cacheField name="Strong / Weak Company" numFmtId="0">
      <sharedItems/>
    </cacheField>
    <cacheField name="Momentum" numFmtId="0">
      <sharedItems/>
    </cacheField>
    <cacheField name="Investor Interest" numFmtId="0">
      <sharedItems/>
    </cacheField>
    <cacheField name="Final Rating" numFmtId="0">
      <sharedItems/>
    </cacheField>
    <cacheField name="Signal Type" numFmtId="10">
      <sharedItems/>
    </cacheField>
    <cacheField name="Sector" numFmtId="0">
      <sharedItems count="28">
        <s v="Diversified"/>
        <s v="Infrastructure"/>
        <s v="Hospitals"/>
        <s v="Paints"/>
        <s v="Banking"/>
        <s v="Automobile"/>
        <s v="Financial Services"/>
        <s v="Defense Electronics"/>
        <s v="Telecom"/>
        <s v="Pharmaceuticals"/>
        <s v="Mining"/>
        <s v="Clarify"/>
        <s v="Cement"/>
        <s v="IT Services"/>
        <s v="Insurance"/>
        <s v="Metals"/>
        <s v="FMCG"/>
        <s v="Aviation"/>
        <s v="Steel"/>
        <s v="Engineering"/>
        <s v="Healthcare"/>
        <s v="Power Generation"/>
        <s v="Oil &amp; Gas"/>
        <s v="Power Transmission"/>
        <s v="Oil &amp; Gas / Telecom / Retail"/>
        <s v="NBFC"/>
        <s v="Consumer Goods"/>
        <s v="Ret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dani Enterprises Ltd."/>
    <n v="-0.11092669432918395"/>
    <n v="-0.21359223300970873"/>
    <n v="1.6209796494831249E-3"/>
    <n v="2.1000000000000185E-3"/>
    <n v="1.6599999999999997E-2"/>
    <n v="-1.8699999999999994E-2"/>
    <n v="0"/>
    <s v="Overhyped"/>
    <n v="-0.10763264922980319"/>
    <s v="Overvalued"/>
    <s v="Weak"/>
    <s v="▲ Bullish"/>
    <s v="High Interest"/>
    <s v="Avoid"/>
    <s v="🟡HOLD"/>
    <x v="0"/>
  </r>
  <r>
    <s v="Adani Ports and Special Economic Zone Ltd."/>
    <n v="6.510426416083262E-2"/>
    <n v="0.1290720631786772"/>
    <n v="1.6524753474909941E-2"/>
    <n v="3.4000000000000141E-3"/>
    <n v="-1.0499999999999995E-2"/>
    <n v="7.2000000000000119E-3"/>
    <n v="0"/>
    <s v="Fundamentally Strong"/>
    <n v="7.0233693604806594E-2"/>
    <s v="Overvalued"/>
    <s v="Weak"/>
    <s v="▲ Bullish"/>
    <s v="High Interest"/>
    <s v="Avoid"/>
    <s v="🟡HOLD"/>
    <x v="1"/>
  </r>
  <r>
    <s v="Apollo Hospitals Enterprise Ltd."/>
    <n v="0.12038203190596138"/>
    <n v="0.34816462736373749"/>
    <n v="9.8699234662387295E-2"/>
    <n v="-1.1999999999999789E-3"/>
    <n v="-7.4999999999999789E-3"/>
    <n v="8.9999999999999941E-3"/>
    <n v="-3.0000000000002247E-4"/>
    <s v="Fundamentally Strong"/>
    <n v="0.18908196464402871"/>
    <s v="Overvalued"/>
    <s v="Weak"/>
    <s v="▲ Bullish"/>
    <s v="Low Interest"/>
    <s v="Buy"/>
    <s v="🟡HOLD"/>
    <x v="2"/>
  </r>
  <r>
    <s v="Asian Paints Ltd."/>
    <n v="9.7368569335662361E-2"/>
    <n v="-6.2271062271062272E-2"/>
    <n v="7.0584192439862581E-2"/>
    <n v="1.799999999999996E-3"/>
    <n v="2.3000000000000104E-3"/>
    <n v="-4.0999999999999925E-3"/>
    <n v="0"/>
    <s v="Overhyped"/>
    <n v="3.5227233168154223E-2"/>
    <s v="Overvalued"/>
    <s v="Weak"/>
    <s v="▲ Bullish"/>
    <s v="High Interest"/>
    <s v="Avoid"/>
    <s v="🟡HOLD"/>
    <x v="3"/>
  </r>
  <r>
    <s v="Axis Bank Ltd."/>
    <n v="-1.7649418371440032E-2"/>
    <n v="0.13189332689755037"/>
    <n v="9.3485259234157833E-2"/>
    <n v="-3.0000000000007798E-4"/>
    <n v="-1.7000000000000348E-3"/>
    <n v="2.0000000000000018E-3"/>
    <n v="0"/>
    <s v="Fundamentally Strong"/>
    <n v="6.9243055920089391E-2"/>
    <s v="Undervalued"/>
    <s v="Weak"/>
    <s v="▲ Bullish"/>
    <s v="Low Interest"/>
    <s v="Avoid"/>
    <s v="🟡HOLD"/>
    <x v="4"/>
  </r>
  <r>
    <s v="Bajaj Auto Ltd."/>
    <n v="0.16683450822423632"/>
    <n v="0.1565717341890627"/>
    <n v="9.2152435371641833E-2"/>
    <n v="-4.500000000000004E-3"/>
    <n v="-2.289999999999999E-2"/>
    <n v="2.7100000000000013E-2"/>
    <n v="2.9999999999996696E-4"/>
    <s v="Fundamentally Strong"/>
    <n v="0.13851955926164694"/>
    <s v="Overvalued"/>
    <s v="Strong"/>
    <s v="▲ Bullish"/>
    <s v="Low Interest"/>
    <s v="Buy"/>
    <s v="🟡HOLD"/>
    <x v="5"/>
  </r>
  <r>
    <s v="Bajaj Finance Ltd."/>
    <n v="6.2780840109880109E-2"/>
    <n v="-6.9891356999515607E-3"/>
    <n v="8.0239099859353027E-2"/>
    <n v="-2.6400000000000007E-2"/>
    <n v="-1.799999999999996E-3"/>
    <n v="2.8300000000000006E-2"/>
    <n v="-9.9999999999988987E-5"/>
    <s v="Overhyped"/>
    <n v="4.5343601423093856E-2"/>
    <s v="Overvalued"/>
    <s v="Weak"/>
    <s v="▲ Bullish"/>
    <s v="Low Interest"/>
    <s v="Avoid"/>
    <s v="🟡HOLD"/>
    <x v="6"/>
  </r>
  <r>
    <s v="Bajaj Finserv Ltd."/>
    <n v="7.4893778933350239E-2"/>
    <n v="0.13892979872361316"/>
    <n v="8.3524355300859596E-2"/>
    <n v="0.19750000000000001"/>
    <n v="-1.3999999999999985E-3"/>
    <n v="-9.7000000000000003E-2"/>
    <n v="9.000000000000119E-4"/>
    <s v="Fundamentally Strong"/>
    <n v="9.911597765260767E-2"/>
    <s v="Overvalued"/>
    <s v="Weak"/>
    <s v="▲ Bullish"/>
    <s v="High Interest"/>
    <s v="Avoid"/>
    <s v="🟢BUY"/>
    <x v="6"/>
  </r>
  <r>
    <s v="Bharat Electronics Ltd."/>
    <n v="0.1171098440890055"/>
    <n v="6.4676616915422883E-2"/>
    <n v="0.29607046070460719"/>
    <n v="4.1999999999999815E-3"/>
    <n v="1.6999999999999793E-3"/>
    <n v="-6.0000000000000053E-3"/>
    <n v="9.9999999999988987E-5"/>
    <s v="Overhyped"/>
    <n v="0.15928564056967853"/>
    <s v="Overvalued"/>
    <s v="Weak"/>
    <s v="▲ Bullish"/>
    <s v="High Interest"/>
    <s v="Buy"/>
    <s v="🟡HOLD"/>
    <x v="7"/>
  </r>
  <r>
    <s v="Bharti Airtel Ltd."/>
    <n v="9.5131415769892383E-2"/>
    <n v="0.6713539574126155"/>
    <n v="8.9730930634411163E-2"/>
    <n v="6.0000000000000053E-3"/>
    <n v="1.949999999999999E-2"/>
    <n v="-6.9999999999999993E-3"/>
    <n v="-1.849999999999985E-2"/>
    <s v="Fundamentally Strong"/>
    <n v="0.28540543460563966"/>
    <s v="Overvalued"/>
    <s v="Weak"/>
    <s v="▲ Bullish"/>
    <s v="High Interest"/>
    <s v="Strong Buy"/>
    <s v="🟢BUY"/>
    <x v="8"/>
  </r>
  <r>
    <s v="Cipla Ltd."/>
    <n v="9.1797935904399788E-2"/>
    <n v="9.3901258470474341E-2"/>
    <n v="0.12033359809372515"/>
    <n v="3.3000000000000251E-3"/>
    <n v="-5.0000000000000044E-4"/>
    <n v="-4.699999999999982E-3"/>
    <n v="1.9000000000000683E-3"/>
    <s v="Overhyped"/>
    <n v="0.10201093082286643"/>
    <s v="Undervalued"/>
    <s v="Weak"/>
    <s v="▲ Bullish"/>
    <s v="High Interest"/>
    <s v="Buy"/>
    <s v="🟡HOLD"/>
    <x v="9"/>
  </r>
  <r>
    <s v="Coal India Ltd."/>
    <n v="4.444787948624266E-2"/>
    <n v="-8.3464904064866605E-2"/>
    <n v="9.7651421508034575E-2"/>
    <n v="-1.6999999999999932E-3"/>
    <n v="-9.5000000000000362E-3"/>
    <n v="1.1500000000000003E-2"/>
    <n v="-2.9999999999996696E-4"/>
    <s v="Overhyped"/>
    <n v="1.9544798976470209E-2"/>
    <s v="Undervalued"/>
    <s v="Weak"/>
    <s v="▲ Bullish"/>
    <s v="Low Interest"/>
    <s v="Avoid"/>
    <s v="🟡HOLD"/>
    <x v="10"/>
  </r>
  <r>
    <s v="Dr. Reddy's Laboratories Ltd."/>
    <n v="8.3249749247743227E-2"/>
    <n v="9.9137931034482762E-2"/>
    <n v="7.959940067817993E-2"/>
    <n v="-7.2000000000000397E-3"/>
    <n v="1.5999999999999903E-3"/>
    <n v="5.0999999999999934E-3"/>
    <n v="5.0000000000005596E-4"/>
    <s v="Fundamentally Strong"/>
    <n v="8.7329026986801964E-2"/>
    <s v="Undervalued"/>
    <s v="Weak"/>
    <s v="▲ Bullish"/>
    <s v="Low Interest"/>
    <s v="Avoid"/>
    <s v="🟡HOLD"/>
    <x v="9"/>
  </r>
  <r>
    <s v="Eicher Motors Ltd."/>
    <n v="5.5273343009192066E-2"/>
    <n v="2.9742564358910272E-2"/>
    <n v="2.7310572779381655E-2"/>
    <n v="0"/>
    <n v="-5.0000000000000044E-4"/>
    <n v="0"/>
    <n v="5.0000000000005596E-4"/>
    <s v="Fundamentally Strong"/>
    <n v="3.7442160049161337E-2"/>
    <s v="Undervalued"/>
    <s v="Weak"/>
    <s v="▲ Bullish"/>
    <s v="Low Interest"/>
    <s v="Avoid"/>
    <s v="🟢BUY"/>
    <x v="5"/>
  </r>
  <r>
    <s v="Eternal Ltd."/>
    <n v="-8.7707283666780808E-2"/>
    <n v="1.1252371916508539"/>
    <n v="0.41291601288297958"/>
    <n v="0.17860000000000004"/>
    <n v="-0.14510000000000001"/>
    <n v="-3.350000000000003E-2"/>
    <n v="0"/>
    <s v="Fundamentally Strong"/>
    <n v="0.48348197362235096"/>
    <s v="Overvalued"/>
    <s v="Weak"/>
    <s v="▲ Bullish"/>
    <s v="High Interest"/>
    <s v="Buy"/>
    <s v="🟡HOLD"/>
    <x v="11"/>
  </r>
  <r>
    <s v="Grasim Industries Ltd."/>
    <n v="5.513903098230237E-2"/>
    <n v="-0.30982367758186397"/>
    <n v="5.951662703623533E-2"/>
    <n v="-4.3899999999999995E-2"/>
    <n v="2.7999999999999997E-2"/>
    <n v="1.9099999999999978E-2"/>
    <n v="-3.1999999999999806E-3"/>
    <s v="Overhyped"/>
    <n v="-6.5056006521108753E-2"/>
    <s v="Overvalued"/>
    <s v="Weak"/>
    <s v="▲ Bullish"/>
    <s v="Low Interest"/>
    <s v="Avoid"/>
    <s v="🟢BUY"/>
    <x v="12"/>
  </r>
  <r>
    <s v="HCL Technologies Ltd."/>
    <n v="7.5850900257476372E-2"/>
    <n v="0.20685263023818623"/>
    <n v="0.17451490771415049"/>
    <n v="1.1499999999999982E-2"/>
    <n v="3.7999999999999978E-3"/>
    <n v="-1.4200000000000004E-2"/>
    <n v="-1.0999999999999899E-3"/>
    <s v="Fundamentally Strong"/>
    <n v="0.15240614606993771"/>
    <s v="Undervalued"/>
    <s v="Weak"/>
    <s v="▲ Bullish"/>
    <s v="High Interest"/>
    <s v="Buy"/>
    <s v="🟡HOLD"/>
    <x v="13"/>
  </r>
  <r>
    <s v="HDFC Bank Ltd."/>
    <n v="3.4511150430075505E-3"/>
    <n v="2.9659694036840464E-3"/>
    <n v="5.4146675805346101E-2"/>
    <n v="-4.300000000000026E-3"/>
    <n v="-4.3199999999999961E-2"/>
    <n v="4.7499999999999987E-2"/>
    <n v="0"/>
    <s v="Overhyped"/>
    <n v="2.0187920084012566E-2"/>
    <s v="Overvalued"/>
    <s v="Weak"/>
    <s v="▲ Bullish"/>
    <s v="Low Interest"/>
    <s v="Avoid"/>
    <s v="🟢BUY"/>
    <x v="4"/>
  </r>
  <r>
    <s v="HDFC Life Insurance Company Ltd."/>
    <n v="0.4782539174928046"/>
    <n v="0.30656469088591459"/>
    <n v="0.10786438308283813"/>
    <n v="3.9500000000000035E-2"/>
    <n v="-0.11299999999999999"/>
    <n v="7.3099999999999984E-2"/>
    <n v="3.9999999999995595E-4"/>
    <s v="Fundamentally Strong"/>
    <n v="0.29756099715385242"/>
    <s v="Overvalued"/>
    <s v="Strong"/>
    <s v="▲ Bullish"/>
    <s v="High Interest"/>
    <s v="Buy"/>
    <s v="🟡HOLD"/>
    <x v="14"/>
  </r>
  <r>
    <s v="Hindalco Industries Ltd."/>
    <n v="5.7593465517081707E-2"/>
    <n v="9.7981290004923685E-2"/>
    <n v="6.7874604544147316E-2"/>
    <n v="1.2000000000000011E-2"/>
    <n v="-9.5000000000000084E-3"/>
    <n v="-4.0999999999999925E-3"/>
    <n v="1.5999999999999903E-3"/>
    <s v="Fundamentally Strong"/>
    <n v="7.4483120022050903E-2"/>
    <s v="Undervalued"/>
    <s v="Weak"/>
    <s v="▲ Bullish"/>
    <s v="High Interest"/>
    <s v="Avoid"/>
    <s v="🟡HOLD"/>
    <x v="15"/>
  </r>
  <r>
    <s v="Hindustan Unilever Ltd."/>
    <n v="4.6917409848778596E-2"/>
    <n v="0.11133082855447894"/>
    <n v="3.1910367323783863E-2"/>
    <n v="-5.0000000000000044E-4"/>
    <n v="7.8000000000000014E-3"/>
    <n v="-7.2999999999999871E-3"/>
    <n v="0"/>
    <s v="Fundamentally Strong"/>
    <n v="6.3386201909013798E-2"/>
    <s v="Overvalued"/>
    <s v="Weak"/>
    <s v="▲ Bullish"/>
    <s v="Low Interest"/>
    <s v="Avoid"/>
    <s v="🟡HOLD"/>
    <x v="16"/>
  </r>
  <r>
    <s v="ICICI Bank Ltd."/>
    <n v="3.9314116904106952E-2"/>
    <n v="0.17760712189395422"/>
    <n v="9.8630989421282039E-2"/>
    <n v="-5.5000000000000049E-3"/>
    <n v="2.8000000000000247E-3"/>
    <n v="2.6999999999999941E-3"/>
    <n v="0"/>
    <s v="Fundamentally Strong"/>
    <n v="0.10518407607311442"/>
    <s v="Overvalued"/>
    <s v="Weak"/>
    <s v="▲ Bullish"/>
    <s v="Low Interest"/>
    <s v="Buy"/>
    <s v="🟡HOLD"/>
    <x v="4"/>
  </r>
  <r>
    <s v="ITC Ltd."/>
    <n v="4.6370512531045384E-2"/>
    <n v="0.10077367544804622"/>
    <n v="4.1145992075586717E-2"/>
    <n v="1.8000000000000071E-2"/>
    <n v="-4.9999999999994493E-4"/>
    <n v="-1.7499999999999988E-2"/>
    <n v="0"/>
    <s v="Fundamentally Strong"/>
    <n v="6.2763393351559435E-2"/>
    <s v="Undervalued"/>
    <s v="Weak"/>
    <s v="▲ Bullish"/>
    <s v="High Interest"/>
    <s v="Avoid"/>
    <s v="🟡HOLD"/>
    <x v="16"/>
  </r>
  <r>
    <s v="Infosys Ltd."/>
    <n v="9.5854753692978467E-2"/>
    <n v="7.3075896771242335E-2"/>
    <n v="8.8049143708116132E-2"/>
    <n v="-7.1999999999999842E-3"/>
    <n v="7.5000000000000067E-3"/>
    <n v="-5.7000000000000106E-3"/>
    <n v="1.899999999999985E-3"/>
    <s v="Overhyped"/>
    <n v="8.5659931390778973E-2"/>
    <s v="Undervalued"/>
    <s v="Weak"/>
    <s v="▲ Bullish"/>
    <s v="Low Interest"/>
    <s v="Avoid"/>
    <s v="🔴SELL"/>
    <x v="13"/>
  </r>
  <r>
    <s v="InterGlobe Aviation Ltd."/>
    <n v="0.22053872053872053"/>
    <n v="-0.11245717082721488"/>
    <n v="-1.5410958904109588E-2"/>
    <n v="1.3299999999999979E-2"/>
    <n v="0.1331"/>
    <n v="-9.2000000000000068E-3"/>
    <n v="-0.13709999999999994"/>
    <s v="Overhyped"/>
    <n v="3.0890196935798687E-2"/>
    <s v="Undervalued"/>
    <s v="Weak"/>
    <s v="▼ Bearish"/>
    <s v="High Interest"/>
    <s v="Avoid"/>
    <s v="🟢BUY"/>
    <x v="17"/>
  </r>
  <r>
    <s v="JSW Steel Ltd."/>
    <n v="4.2249980000685694E-2"/>
    <n v="0.37838442604609535"/>
    <n v="0.12591699326700842"/>
    <n v="2.6299999999999962E-2"/>
    <n v="2.5000000000000022E-3"/>
    <n v="-2.7199999999999974E-2"/>
    <n v="-1.5999999999999903E-3"/>
    <s v="Fundamentally Strong"/>
    <n v="0.18218379977126317"/>
    <s v="Overvalued"/>
    <s v="Weak"/>
    <s v="▲ Bullish"/>
    <s v="High Interest"/>
    <s v="Buy"/>
    <s v="🔴SELL"/>
    <x v="18"/>
  </r>
  <r>
    <s v="Jio Financial Services Ltd."/>
    <n v="0.34487870619946093"/>
    <n v="-0.19708411214953267"/>
    <n v="-0.14444140197152247"/>
    <n v="-6.0000000000000012E-2"/>
    <n v="1.2500000000000011E-2"/>
    <n v="4.7399999999999998E-2"/>
    <n v="0"/>
    <s v="Overhyped"/>
    <n v="1.1177306928019288E-3"/>
    <s v="Overvalued"/>
    <s v="Weak"/>
    <s v="▼ Bearish"/>
    <s v="Low Interest"/>
    <s v="Avoid"/>
    <s v="🟡HOLD"/>
    <x v="6"/>
  </r>
  <r>
    <s v="Kotak Mahindra Bank Ltd."/>
    <n v="-1.439078989446754E-3"/>
    <n v="0.18415324336090552"/>
    <n v="7.3051082435747039E-2"/>
    <n v="-8.4000000000000186E-3"/>
    <n v="-3.5000000000000031E-3"/>
    <n v="1.2299999999999978E-2"/>
    <n v="-4.0000000000001146E-4"/>
    <s v="Fundamentally Strong"/>
    <n v="8.5255082269068597E-2"/>
    <s v="Overvalued"/>
    <s v="Weak"/>
    <s v="▲ Bullish"/>
    <s v="Low Interest"/>
    <s v="Avoid"/>
    <s v="🟡HOLD"/>
    <x v="4"/>
  </r>
  <r>
    <s v="Larsen &amp; Toubro Ltd."/>
    <n v="-0.48926315789473684"/>
    <n v="0.18309212037675165"/>
    <n v="7.7217045335566836E-2"/>
    <n v="-3.1999999999999806E-3"/>
    <n v="0"/>
    <n v="-0.18880000000000002"/>
    <n v="0"/>
    <s v="Fundamentally Strong"/>
    <n v="-7.6317997394139456E-2"/>
    <s v="Overvalued"/>
    <s v="Weak"/>
    <s v="▲ Bullish"/>
    <s v="Low Interest"/>
    <s v="Avoid"/>
    <s v="🟢BUY"/>
    <x v="19"/>
  </r>
  <r>
    <s v="Mahindra &amp; Mahindra Ltd."/>
    <n v="0.14476049411121816"/>
    <n v="0.1473067707871151"/>
    <n v="0.207793041468738"/>
    <n v="-2.6599999999999957E-2"/>
    <n v="4.0999999999999981E-2"/>
    <n v="-5.5000000000000049E-3"/>
    <n v="-8.8000000000000023E-3"/>
    <s v="Overhyped"/>
    <n v="0.16662010212235709"/>
    <s v="Undervalued"/>
    <s v="Weak"/>
    <s v="▲ Bullish"/>
    <s v="Low Interest"/>
    <s v="Buy"/>
    <s v="🟢BUY"/>
    <x v="5"/>
  </r>
  <r>
    <s v="Maruti Suzuki India Ltd."/>
    <n v="8.500493142131367E-2"/>
    <n v="9.7736391854038915E-2"/>
    <n v="0.37423868312757202"/>
    <n v="-4.7900000000000026E-2"/>
    <n v="7.7100000000000002E-2"/>
    <n v="-3.0199999999999994E-2"/>
    <n v="9.000000000000119E-4"/>
    <s v="Overhyped"/>
    <n v="0.18566000213430822"/>
    <s v="Undervalued"/>
    <s v="Weak"/>
    <s v="▲ Bullish"/>
    <s v="Low Interest"/>
    <s v="Buy"/>
    <s v="🔴SELL"/>
    <x v="5"/>
  </r>
  <r>
    <s v="Max Healthcare Institute Ltd."/>
    <n v="-2.5719434433046848E-2"/>
    <n v="-0.11450205761316863"/>
    <n v="-8.1281377002142868E-4"/>
    <n v="-2.5500000000000078E-2"/>
    <n v="6.0100000000000015E-2"/>
    <n v="-3.4300000000000004E-2"/>
    <n v="-2.9999999999999472E-4"/>
    <s v="Overhyped"/>
    <n v="-4.7011435272078968E-2"/>
    <s v="Overvalued"/>
    <s v="Weak"/>
    <s v="▼ Bearish"/>
    <s v="Low Interest"/>
    <s v="Avoid"/>
    <s v="🔴SELL"/>
    <x v="20"/>
  </r>
  <r>
    <s v="NTPC Ltd."/>
    <n v="6.7661663309025899E-2"/>
    <n v="9.7974873429589354E-2"/>
    <n v="-1.879609802522016E-2"/>
    <n v="-1.6100000000000031E-2"/>
    <n v="2.2900000000000031E-2"/>
    <n v="-6.9000000000000034E-3"/>
    <n v="0"/>
    <s v="Fundamentally Strong"/>
    <n v="4.894681290446503E-2"/>
    <s v="Undervalued"/>
    <s v="Weak"/>
    <s v="▼ Bearish"/>
    <s v="Low Interest"/>
    <s v="Avoid"/>
    <s v="🔴SELL"/>
    <x v="21"/>
  </r>
  <r>
    <s v="Nestle India Ltd."/>
    <n v="0.18058678939386016"/>
    <n v="0.23050847457627119"/>
    <n v="-2.7468107114124916E-2"/>
    <n v="0"/>
    <n v="2.0000000000000018E-3"/>
    <n v="-1.9000000000000128E-3"/>
    <n v="-9.9999999999988987E-5"/>
    <s v="Fundamentally Strong"/>
    <n v="0.12787571895200214"/>
    <s v="Overvalued"/>
    <s v="Strong"/>
    <s v="▼ Bearish"/>
    <s v="Low Interest"/>
    <s v="Buy"/>
    <s v="🔴SELL"/>
    <x v="16"/>
  </r>
  <r>
    <s v="Oil &amp; Natural Gas Corporation Ltd."/>
    <n v="3.151166407465008E-2"/>
    <n v="-0.3287508099683018"/>
    <n v="-8.941027266962584E-2"/>
    <n v="-1.6799999999999995E-2"/>
    <n v="-1.0999999999999899E-3"/>
    <n v="1.7799999999999983E-2"/>
    <n v="0"/>
    <s v="Overhyped"/>
    <n v="-0.12888313952109254"/>
    <s v="Undervalued"/>
    <s v="Weak"/>
    <s v="▼ Bearish"/>
    <s v="Low Interest"/>
    <s v="Avoid"/>
    <s v="🔴SELL"/>
    <x v="22"/>
  </r>
  <r>
    <s v="Power Grid Corporation of India Ltd."/>
    <n v="3.2428306618689347E-2"/>
    <n v="-7.8982854941244459E-3"/>
    <n v="-0.23481781376518215"/>
    <n v="-3.870000000000004E-2"/>
    <n v="8.1100000000000005E-2"/>
    <n v="-4.2400000000000007E-2"/>
    <n v="0"/>
    <s v="Fundamentally Strong"/>
    <n v="-7.0095930880205756E-2"/>
    <s v="Undervalued"/>
    <s v="Weak"/>
    <s v="▼ Bearish"/>
    <s v="Low Interest"/>
    <s v="Avoid"/>
    <s v="🟡HOLD"/>
    <x v="23"/>
  </r>
  <r>
    <s v="Reliance Industries Ltd."/>
    <n v="0.17135789832821563"/>
    <n v="0.16788038091955013"/>
    <n v="3.3163096106652516E-2"/>
    <n v="-3.0100000000000016E-2"/>
    <n v="3.6299999999999999E-2"/>
    <n v="-2.8999999999999859E-3"/>
    <n v="-3.1999999999999806E-3"/>
    <s v="Fundamentally Strong"/>
    <n v="0.12413379178480609"/>
    <s v="Overvalued"/>
    <s v="Strong"/>
    <s v="▲ Bullish"/>
    <s v="Low Interest"/>
    <s v="Buy"/>
    <s v="🟢BUY"/>
    <x v="24"/>
  </r>
  <r>
    <s v="SBI Life Insurance Company Ltd."/>
    <n v="2.4095778748180496"/>
    <n v="0.25607708553326303"/>
    <n v="0.1242541436464089"/>
    <n v="-2.2699999999999998E-2"/>
    <n v="3.9199999999999957E-2"/>
    <n v="-1.5699999999999999E-2"/>
    <n v="-8.0000000000002292E-4"/>
    <s v="Fundamentally Strong"/>
    <n v="0.92996970133257395"/>
    <s v="Overvalued"/>
    <s v="Strong"/>
    <s v="▲ Bullish"/>
    <s v="Low Interest"/>
    <s v="Strong Buy"/>
    <s v="🔴SELL"/>
    <x v="14"/>
  </r>
  <r>
    <s v="Shriram Finance Ltd."/>
    <n v="-0.81384582543960293"/>
    <n v="0.35757997218358833"/>
    <n v="-0.66835443037974684"/>
    <n v="-6.629999999999997E-2"/>
    <n v="6.2E-2"/>
    <n v="4.4999999999999971E-3"/>
    <n v="-2.0000000000003348E-4"/>
    <s v="Fundamentally Strong"/>
    <n v="-0.37487342787858718"/>
    <s v="Undervalued"/>
    <s v="Weak"/>
    <s v="▼ Bearish"/>
    <s v="Low Interest"/>
    <s v="Avoid"/>
    <s v="🟡HOLD"/>
    <x v="25"/>
  </r>
  <r>
    <s v="State Bank of India"/>
    <n v="-0.96223596419853541"/>
    <n v="0.16084614503004405"/>
    <n v="7.9380101739027598E-2"/>
    <n v="-7.5000000000000067E-3"/>
    <n v="2.9700000000000004E-2"/>
    <n v="-2.0000000000000018E-3"/>
    <n v="-2.0399999999999974E-2"/>
    <s v="Fundamentally Strong"/>
    <n v="-0.24066990580982126"/>
    <s v="Undervalued"/>
    <s v="Weak"/>
    <s v="▲ Bullish"/>
    <s v="Low Interest"/>
    <s v="Avoid"/>
    <s v="🔴SELL"/>
    <x v="4"/>
  </r>
  <r>
    <s v="Sun Pharmaceutical Industries Ltd."/>
    <n v="8.414953502278491E-2"/>
    <n v="0.13826232247284878"/>
    <n v="-0.10157762163595384"/>
    <n v="-1.0799999999999976E-2"/>
    <n v="1.2699999999999989E-2"/>
    <n v="-1.8999999999999989E-3"/>
    <n v="0"/>
    <s v="Fundamentally Strong"/>
    <n v="4.0278078619893284E-2"/>
    <s v="Undervalued"/>
    <s v="Weak"/>
    <s v="▼ Bearish"/>
    <s v="Low Interest"/>
    <s v="Avoid"/>
    <s v="🔴SELL"/>
    <x v="9"/>
  </r>
  <r>
    <s v="Tata Consultancy Services Ltd."/>
    <n v="5.9906265437351856E-2"/>
    <n v="4.2245357947837285E-2"/>
    <n v="-2.2087142127975457E-2"/>
    <n v="-2.0800000000000013E-2"/>
    <n v="2.6699999999999988E-2"/>
    <n v="-5.9000000000000025E-3"/>
    <n v="0"/>
    <s v="Fundamentally Strong"/>
    <n v="2.6688160419071228E-2"/>
    <s v="Undervalued"/>
    <s v="Weak"/>
    <s v="▼ Bearish"/>
    <s v="Low Interest"/>
    <s v="Avoid"/>
    <s v="🔴SELL"/>
    <x v="13"/>
  </r>
  <r>
    <s v="Tata Consumer Products Ltd."/>
    <n v="0.15862159673812967"/>
    <n v="3.5258814703675916E-2"/>
    <n v="-2.4600954418298574E-2"/>
    <n v="-3.2700000000000007E-2"/>
    <n v="6.6599999999999993E-2"/>
    <n v="-2.7800000000000019E-2"/>
    <n v="-6.0999999999999943E-3"/>
    <s v="Fundamentally Strong"/>
    <n v="5.6426485674502341E-2"/>
    <s v="Overvalued"/>
    <s v="Weak"/>
    <s v="▼ Bearish"/>
    <s v="Low Interest"/>
    <s v="Avoid"/>
    <s v="🟡HOLD"/>
    <x v="16"/>
  </r>
  <r>
    <s v="Tata Motors Passenger Vehicles Ltd."/>
    <n v="6.9125518350048404E-2"/>
    <n v="1.277110736010701E-2"/>
    <n v="4.5106667942217633E-2"/>
    <n v="0"/>
    <n v="3.4999999999999754E-3"/>
    <n v="-1.9000000000000128E-3"/>
    <n v="-1.5999999999999903E-3"/>
    <s v="Overhyped"/>
    <n v="4.2334431217457676E-2"/>
    <s v="Undervalued"/>
    <s v="Weak"/>
    <s v="▲ Bullish"/>
    <s v="Low Interest"/>
    <s v="Avoid"/>
    <s v="🟡HOLD"/>
    <x v="5"/>
  </r>
  <r>
    <s v="Tata Steel Ltd."/>
    <n v="4.0707593892770025E-2"/>
    <n v="-4.2206849625765477"/>
    <n v="2.9019152640732992E-4"/>
    <n v="7.9999999999999516E-4"/>
    <n v="1.1200000000000015E-2"/>
    <n v="-1.2699999999999989E-2"/>
    <n v="7.0000000000003393E-4"/>
    <s v="Overhyped"/>
    <n v="-1.3932290590524568"/>
    <s v="Undervalued"/>
    <s v="Weak"/>
    <s v="▲ Bullish"/>
    <s v="High Interest"/>
    <s v="Avoid"/>
    <s v="🔴SELL"/>
    <x v="18"/>
  </r>
  <r>
    <s v="Tech Mahindra Ltd."/>
    <n v="-5.6671045224244701E-3"/>
    <n v="1.0600775193798451"/>
    <n v="-6.757707185558548E-2"/>
    <n v="-6.2599999999999989E-2"/>
    <n v="7.0500000000000007E-2"/>
    <n v="-9.1999999999999998E-3"/>
    <n v="-3.0000000000002247E-4"/>
    <s v="Fundamentally Strong"/>
    <n v="0.32894444766727843"/>
    <s v="Overvalued"/>
    <s v="Weak"/>
    <s v="▼ Bearish"/>
    <s v="Low Interest"/>
    <s v="Strong Buy"/>
    <s v="🟢BUY"/>
    <x v="13"/>
  </r>
  <r>
    <s v="Titan Company Ltd."/>
    <n v="0.19299584997259417"/>
    <n v="-4.5480549199084667E-2"/>
    <n v="0.12155353781419552"/>
    <n v="-0.03"/>
    <n v="4.5499999999999999E-2"/>
    <n v="-1.5500000000000014E-2"/>
    <n v="0"/>
    <s v="Overhyped"/>
    <n v="8.9689612862568338E-2"/>
    <s v="Overvalued"/>
    <s v="Weak"/>
    <s v="▲ Bullish"/>
    <s v="Low Interest"/>
    <s v="Avoid"/>
    <s v="🔴SELL"/>
    <x v="26"/>
  </r>
  <r>
    <s v="Trent Ltd."/>
    <n v="0.30327272727272725"/>
    <n v="6.7704807041299936E-3"/>
    <n v="-0.48389849940128915"/>
    <n v="-0.12180000000000002"/>
    <n v="7.3000000000000009E-2"/>
    <n v="4.880000000000001E-2"/>
    <n v="0"/>
    <s v="Fundamentally Strong"/>
    <n v="-5.7951763808143965E-2"/>
    <s v="Overvalued"/>
    <s v="Weak"/>
    <s v="▼ Bearish"/>
    <s v="Low Interest"/>
    <s v="Avoid"/>
    <s v="🔴SELL"/>
    <x v="27"/>
  </r>
  <r>
    <s v="UltraTech Cement Ltd."/>
    <n v="1.390534213346872E-2"/>
    <n v="-0.13790149892933617"/>
    <n v="-4.8259584025988914E-2"/>
    <n v="-2.7599999999999986E-2"/>
    <n v="3.6000000000000004E-2"/>
    <n v="-1.799999999999996E-3"/>
    <n v="-6.6000000000000503E-3"/>
    <s v="Overhyped"/>
    <n v="-5.7418580273952115E-2"/>
    <s v="Overvalued"/>
    <s v="Weak"/>
    <s v="▼ Bearish"/>
    <s v="Low Interest"/>
    <s v="Avoid"/>
    <s v="🔴SELL"/>
    <x v="12"/>
  </r>
  <r>
    <s v="Wipro Ltd."/>
    <n v="-7.4866310160427805E-3"/>
    <n v="0.18333333333333332"/>
    <n v="-0.52784202099270594"/>
    <n v="3.9900000000000005E-2"/>
    <n v="-1.819999999999998E-2"/>
    <n v="-2.0399999999999988E-2"/>
    <n v="-2.5000000000000577E-3"/>
    <s v="Fundamentally Strong"/>
    <n v="-0.11733177289180513"/>
    <s v="Undervalued"/>
    <s v="Weak"/>
    <s v="▼ Bearish"/>
    <s v="High Interest"/>
    <s v="Avoid"/>
    <s v="🔴SELL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B2A64-6E93-4E2E-AFA9-EEFDD478B6D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2" firstHeaderRow="1" firstDataRow="1" firstDataCol="1"/>
  <pivotFields count="17">
    <pivotField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  <pivotField showAll="0"/>
    <pivotField dataField="1" numFmtId="10" showAll="0"/>
    <pivotField showAll="0"/>
    <pivotField showAll="0"/>
    <pivotField showAll="0"/>
    <pivotField showAll="0"/>
    <pivotField showAll="0"/>
    <pivotField showAll="0"/>
    <pivotField axis="axisRow" showAll="0" measureFilter="1">
      <items count="29">
        <item x="5"/>
        <item x="17"/>
        <item x="4"/>
        <item x="12"/>
        <item x="11"/>
        <item x="26"/>
        <item x="7"/>
        <item x="0"/>
        <item x="19"/>
        <item x="6"/>
        <item x="16"/>
        <item x="20"/>
        <item x="2"/>
        <item x="1"/>
        <item x="14"/>
        <item x="13"/>
        <item x="15"/>
        <item x="10"/>
        <item x="25"/>
        <item x="22"/>
        <item x="24"/>
        <item x="3"/>
        <item x="9"/>
        <item x="21"/>
        <item x="23"/>
        <item x="27"/>
        <item x="18"/>
        <item x="8"/>
        <item t="default"/>
      </items>
    </pivotField>
  </pivotFields>
  <rowFields count="1">
    <field x="16"/>
  </rowFields>
  <rowItems count="11">
    <i>
      <x/>
    </i>
    <i>
      <x v="4"/>
    </i>
    <i>
      <x v="5"/>
    </i>
    <i>
      <x v="6"/>
    </i>
    <i>
      <x v="10"/>
    </i>
    <i>
      <x v="12"/>
    </i>
    <i>
      <x v="14"/>
    </i>
    <i>
      <x v="15"/>
    </i>
    <i>
      <x v="20"/>
    </i>
    <i>
      <x v="27"/>
    </i>
    <i t="grand">
      <x/>
    </i>
  </rowItems>
  <colItems count="1">
    <i/>
  </colItems>
  <dataFields count="1">
    <dataField name="Average of Total Growth Score" fld="9" subtotal="average" baseField="16" baseItem="0" numFmtId="1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443B-0E4E-4328-9F41-F8A72E81C43F}">
  <sheetPr codeName="Sheet1">
    <pageSetUpPr autoPageBreaks="0"/>
  </sheetPr>
  <dimension ref="A1:T51"/>
  <sheetViews>
    <sheetView workbookViewId="0">
      <pane ySplit="1" topLeftCell="A2" activePane="bottomLeft" state="frozen"/>
      <selection pane="bottomLeft" activeCell="S2" sqref="S2"/>
    </sheetView>
  </sheetViews>
  <sheetFormatPr defaultRowHeight="14.4" x14ac:dyDescent="0.3"/>
  <cols>
    <col min="1" max="1" width="36.21875" bestFit="1" customWidth="1"/>
    <col min="2" max="2" width="7.6640625" style="1" bestFit="1" customWidth="1"/>
    <col min="3" max="3" width="10.44140625" style="2" bestFit="1" customWidth="1"/>
    <col min="4" max="4" width="9.44140625" style="2" bestFit="1" customWidth="1"/>
    <col min="5" max="5" width="10.44140625" style="2" bestFit="1" customWidth="1"/>
    <col min="6" max="6" width="14.21875" style="2" bestFit="1" customWidth="1"/>
    <col min="7" max="7" width="11.44140625" style="1" bestFit="1" customWidth="1"/>
    <col min="8" max="8" width="22.77734375" style="1" bestFit="1" customWidth="1"/>
    <col min="9" max="10" width="7.109375" style="1" bestFit="1" customWidth="1"/>
    <col min="11" max="11" width="7.77734375" style="1" bestFit="1" customWidth="1"/>
    <col min="12" max="12" width="12.33203125" style="1" bestFit="1" customWidth="1"/>
    <col min="13" max="13" width="26.44140625" style="2" bestFit="1" customWidth="1"/>
    <col min="14" max="14" width="16.21875" style="1" bestFit="1" customWidth="1"/>
    <col min="15" max="15" width="23.109375" style="2" bestFit="1" customWidth="1"/>
    <col min="16" max="16" width="8.21875" style="1" bestFit="1" customWidth="1"/>
    <col min="17" max="17" width="8" style="1" bestFit="1" customWidth="1"/>
    <col min="18" max="18" width="15.5546875" style="1" bestFit="1" customWidth="1"/>
    <col min="19" max="19" width="26.77734375" style="2" bestFit="1" customWidth="1"/>
    <col min="20" max="20" width="29" style="2" bestFit="1" customWidth="1"/>
  </cols>
  <sheetData>
    <row r="1" spans="1:20" ht="15.6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94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99</v>
      </c>
      <c r="N1" s="4" t="s">
        <v>11</v>
      </c>
      <c r="O1" s="5" t="s">
        <v>12</v>
      </c>
      <c r="P1" s="4" t="s">
        <v>13</v>
      </c>
      <c r="Q1" s="4" t="s">
        <v>14</v>
      </c>
      <c r="R1" s="4" t="s">
        <v>15</v>
      </c>
      <c r="S1" s="5" t="s">
        <v>97</v>
      </c>
      <c r="T1" s="5" t="s">
        <v>98</v>
      </c>
    </row>
    <row r="2" spans="1:20" x14ac:dyDescent="0.3">
      <c r="A2" s="6" t="s">
        <v>16</v>
      </c>
      <c r="B2" s="7">
        <v>2024</v>
      </c>
      <c r="C2" s="8">
        <v>3743</v>
      </c>
      <c r="D2" s="8">
        <v>2641.2</v>
      </c>
      <c r="E2" s="8">
        <v>3115.4</v>
      </c>
      <c r="F2" s="8">
        <v>48200</v>
      </c>
      <c r="G2" s="9">
        <v>-2.4E-2</v>
      </c>
      <c r="H2" s="7" t="s">
        <v>66</v>
      </c>
      <c r="I2" s="9">
        <v>0.14199999999999999</v>
      </c>
      <c r="J2" s="9">
        <v>4.3200000000000002E-2</v>
      </c>
      <c r="K2" s="9">
        <v>6.7599999999999993E-2</v>
      </c>
      <c r="L2" s="9">
        <v>0.74719999999999998</v>
      </c>
      <c r="M2" s="8">
        <v>355150</v>
      </c>
      <c r="N2" s="7">
        <v>86.2</v>
      </c>
      <c r="O2" s="8">
        <v>36.14</v>
      </c>
      <c r="P2" s="9">
        <v>0.114</v>
      </c>
      <c r="Q2" s="7">
        <v>1.85</v>
      </c>
      <c r="R2" s="7">
        <v>42.15</v>
      </c>
      <c r="S2" s="8">
        <v>108450</v>
      </c>
      <c r="T2" s="8">
        <v>4120</v>
      </c>
    </row>
    <row r="3" spans="1:20" x14ac:dyDescent="0.3">
      <c r="A3" s="6" t="s">
        <v>17</v>
      </c>
      <c r="B3" s="7">
        <v>2024</v>
      </c>
      <c r="C3" s="8">
        <v>1607</v>
      </c>
      <c r="D3" s="8">
        <v>1145</v>
      </c>
      <c r="E3" s="8">
        <v>1485.65</v>
      </c>
      <c r="F3" s="8">
        <v>22500</v>
      </c>
      <c r="G3" s="9">
        <v>0.108</v>
      </c>
      <c r="H3" s="7" t="s">
        <v>67</v>
      </c>
      <c r="I3" s="9">
        <v>0.14879999999999999</v>
      </c>
      <c r="J3" s="9">
        <v>0.125</v>
      </c>
      <c r="K3" s="9">
        <v>6.7199999999999996E-2</v>
      </c>
      <c r="L3" s="9">
        <v>0.65890000000000004</v>
      </c>
      <c r="M3" s="8">
        <v>320950</v>
      </c>
      <c r="N3" s="7">
        <v>39.6</v>
      </c>
      <c r="O3" s="8">
        <v>37.520000000000003</v>
      </c>
      <c r="P3" s="9">
        <v>0.1542</v>
      </c>
      <c r="Q3" s="7">
        <v>1.35</v>
      </c>
      <c r="R3" s="7">
        <v>35.4</v>
      </c>
      <c r="S3" s="8">
        <v>26711</v>
      </c>
      <c r="T3" s="8">
        <v>8104</v>
      </c>
    </row>
    <row r="4" spans="1:20" x14ac:dyDescent="0.3">
      <c r="A4" s="6" t="s">
        <v>18</v>
      </c>
      <c r="B4" s="7">
        <v>2024</v>
      </c>
      <c r="C4" s="8">
        <v>7025</v>
      </c>
      <c r="D4" s="8">
        <v>4750</v>
      </c>
      <c r="E4" s="8">
        <v>6480.8</v>
      </c>
      <c r="F4" s="8">
        <v>12800</v>
      </c>
      <c r="G4" s="9">
        <v>0.182</v>
      </c>
      <c r="H4" s="7" t="s">
        <v>68</v>
      </c>
      <c r="I4" s="9">
        <v>0.44919999999999999</v>
      </c>
      <c r="J4" s="9">
        <v>0.17849999999999999</v>
      </c>
      <c r="K4" s="9">
        <v>7.9000000000000001E-2</v>
      </c>
      <c r="L4" s="9">
        <v>0.29330000000000001</v>
      </c>
      <c r="M4" s="8">
        <v>92710</v>
      </c>
      <c r="N4" s="7">
        <v>103.14</v>
      </c>
      <c r="O4" s="8">
        <v>62.54</v>
      </c>
      <c r="P4" s="9">
        <v>0.14799999999999999</v>
      </c>
      <c r="Q4" s="7">
        <v>0.65</v>
      </c>
      <c r="R4" s="7">
        <v>44.2</v>
      </c>
      <c r="S4" s="8">
        <v>19056</v>
      </c>
      <c r="T4" s="8">
        <v>899</v>
      </c>
    </row>
    <row r="5" spans="1:20" x14ac:dyDescent="0.3">
      <c r="A5" s="6" t="s">
        <v>19</v>
      </c>
      <c r="B5" s="7">
        <v>2024</v>
      </c>
      <c r="C5" s="8">
        <v>3422</v>
      </c>
      <c r="D5" s="8">
        <v>2708</v>
      </c>
      <c r="E5" s="8">
        <v>2910</v>
      </c>
      <c r="F5" s="8">
        <v>15600</v>
      </c>
      <c r="G5" s="9">
        <v>-8.5000000000000006E-2</v>
      </c>
      <c r="H5" s="7" t="s">
        <v>69</v>
      </c>
      <c r="I5" s="9">
        <v>0.1522</v>
      </c>
      <c r="J5" s="9">
        <v>0.11019999999999999</v>
      </c>
      <c r="K5" s="9">
        <v>0.21129999999999999</v>
      </c>
      <c r="L5" s="9">
        <v>0.52629999999999999</v>
      </c>
      <c r="M5" s="8">
        <v>279145</v>
      </c>
      <c r="N5" s="7">
        <v>51.13</v>
      </c>
      <c r="O5" s="8">
        <v>56.92</v>
      </c>
      <c r="P5" s="9">
        <v>0.33100000000000002</v>
      </c>
      <c r="Q5" s="7">
        <v>0.62</v>
      </c>
      <c r="R5" s="7">
        <v>55.4</v>
      </c>
      <c r="S5" s="8">
        <v>35494</v>
      </c>
      <c r="T5" s="8">
        <v>5460</v>
      </c>
    </row>
    <row r="6" spans="1:20" x14ac:dyDescent="0.3">
      <c r="A6" s="6" t="s">
        <v>20</v>
      </c>
      <c r="B6" s="7">
        <v>2024</v>
      </c>
      <c r="C6" s="8">
        <v>1339.65</v>
      </c>
      <c r="D6" s="8">
        <v>1023</v>
      </c>
      <c r="E6" s="8">
        <v>1180.4000000000001</v>
      </c>
      <c r="F6" s="8">
        <v>28500</v>
      </c>
      <c r="G6" s="9">
        <v>0.124</v>
      </c>
      <c r="H6" s="7" t="s">
        <v>70</v>
      </c>
      <c r="I6" s="9">
        <v>0.5383</v>
      </c>
      <c r="J6" s="9">
        <v>0.28620000000000001</v>
      </c>
      <c r="K6" s="9">
        <v>9.5500000000000002E-2</v>
      </c>
      <c r="L6" s="9">
        <v>0.08</v>
      </c>
      <c r="M6" s="8">
        <v>363905</v>
      </c>
      <c r="N6" s="7">
        <v>14.64</v>
      </c>
      <c r="O6" s="8">
        <v>80.64</v>
      </c>
      <c r="P6" s="9">
        <v>0.17199999999999999</v>
      </c>
      <c r="Q6" s="7">
        <v>1.18</v>
      </c>
      <c r="R6" s="7">
        <v>12.5</v>
      </c>
      <c r="S6" s="8">
        <v>124650</v>
      </c>
      <c r="T6" s="8">
        <v>24861</v>
      </c>
    </row>
    <row r="7" spans="1:20" x14ac:dyDescent="0.3">
      <c r="A7" s="6" t="s">
        <v>21</v>
      </c>
      <c r="B7" s="7">
        <v>2024</v>
      </c>
      <c r="C7" s="8">
        <v>12774</v>
      </c>
      <c r="D7" s="8">
        <v>6554</v>
      </c>
      <c r="E7" s="8">
        <v>10850.5</v>
      </c>
      <c r="F7" s="8">
        <v>18400</v>
      </c>
      <c r="G7" s="9">
        <v>0.55399999999999994</v>
      </c>
      <c r="H7" s="7" t="s">
        <v>71</v>
      </c>
      <c r="I7" s="9">
        <v>0.14649999999999999</v>
      </c>
      <c r="J7" s="9">
        <v>0.1244</v>
      </c>
      <c r="K7" s="9">
        <v>0.17879999999999999</v>
      </c>
      <c r="L7" s="9">
        <v>0.55030000000000001</v>
      </c>
      <c r="M7" s="8">
        <v>298450</v>
      </c>
      <c r="N7" s="7">
        <v>40.119999999999997</v>
      </c>
      <c r="O7" s="8">
        <v>264.45</v>
      </c>
      <c r="P7" s="9">
        <v>0.252</v>
      </c>
      <c r="Q7" s="7">
        <v>0.57999999999999996</v>
      </c>
      <c r="R7" s="7">
        <v>34.200000000000003</v>
      </c>
      <c r="S7" s="8">
        <v>44685</v>
      </c>
      <c r="T7" s="8">
        <v>7479</v>
      </c>
    </row>
    <row r="8" spans="1:20" x14ac:dyDescent="0.3">
      <c r="A8" s="6" t="s">
        <v>22</v>
      </c>
      <c r="B8" s="7">
        <v>2024</v>
      </c>
      <c r="C8" s="8">
        <v>8192</v>
      </c>
      <c r="D8" s="8">
        <v>6355</v>
      </c>
      <c r="E8" s="8">
        <v>7110</v>
      </c>
      <c r="F8" s="8">
        <v>32400</v>
      </c>
      <c r="G8" s="9">
        <v>-2.5000000000000001E-2</v>
      </c>
      <c r="H8" s="7" t="s">
        <v>72</v>
      </c>
      <c r="I8" s="9">
        <v>0.2089</v>
      </c>
      <c r="J8" s="9">
        <v>0.14279999999999998</v>
      </c>
      <c r="K8" s="9">
        <v>0.1014</v>
      </c>
      <c r="L8" s="9">
        <v>0.54689999999999994</v>
      </c>
      <c r="M8" s="8">
        <v>432150</v>
      </c>
      <c r="N8" s="7">
        <v>30.5</v>
      </c>
      <c r="O8" s="8">
        <v>233.15</v>
      </c>
      <c r="P8" s="9">
        <v>0.221</v>
      </c>
      <c r="Q8" s="7">
        <v>1.24</v>
      </c>
      <c r="R8" s="7">
        <v>25.4</v>
      </c>
      <c r="S8" s="8">
        <v>54969</v>
      </c>
      <c r="T8" s="8">
        <v>14451</v>
      </c>
    </row>
    <row r="9" spans="1:20" x14ac:dyDescent="0.3">
      <c r="A9" s="6" t="s">
        <v>23</v>
      </c>
      <c r="B9" s="7">
        <v>2024</v>
      </c>
      <c r="C9" s="8">
        <v>1974</v>
      </c>
      <c r="D9" s="8">
        <v>1419</v>
      </c>
      <c r="E9" s="8">
        <v>1745</v>
      </c>
      <c r="F9" s="8">
        <v>16800</v>
      </c>
      <c r="G9" s="9">
        <v>5.2000000000000005E-2</v>
      </c>
      <c r="H9" s="7" t="s">
        <v>72</v>
      </c>
      <c r="I9" s="9">
        <v>7.0999999999999994E-2</v>
      </c>
      <c r="J9" s="9">
        <v>7.6399999999999996E-2</v>
      </c>
      <c r="K9" s="9">
        <v>0.2457</v>
      </c>
      <c r="L9" s="9">
        <v>0.6069</v>
      </c>
      <c r="M9" s="8">
        <v>278140</v>
      </c>
      <c r="N9" s="7">
        <v>34.15</v>
      </c>
      <c r="O9" s="8">
        <v>51.1</v>
      </c>
      <c r="P9" s="9">
        <v>0.158</v>
      </c>
      <c r="Q9" s="7">
        <v>1.08</v>
      </c>
      <c r="R9" s="7">
        <v>28.4</v>
      </c>
      <c r="S9" s="8">
        <v>110383</v>
      </c>
      <c r="T9" s="8">
        <v>8148</v>
      </c>
    </row>
    <row r="10" spans="1:20" x14ac:dyDescent="0.3">
      <c r="A10" s="6" t="s">
        <v>24</v>
      </c>
      <c r="B10" s="7">
        <v>2024</v>
      </c>
      <c r="C10" s="8">
        <v>340.5</v>
      </c>
      <c r="D10" s="8">
        <v>170.15</v>
      </c>
      <c r="E10" s="8">
        <v>295.2</v>
      </c>
      <c r="F10" s="8">
        <v>14200</v>
      </c>
      <c r="G10" s="9">
        <v>0.65200000000000002</v>
      </c>
      <c r="H10" s="7" t="s">
        <v>73</v>
      </c>
      <c r="I10" s="9">
        <v>0.17430000000000001</v>
      </c>
      <c r="J10" s="9">
        <v>0.24230000000000002</v>
      </c>
      <c r="K10" s="9">
        <v>7.2000000000000008E-2</v>
      </c>
      <c r="L10" s="9">
        <v>0.51139999999999997</v>
      </c>
      <c r="M10" s="8">
        <v>205450</v>
      </c>
      <c r="N10" s="7">
        <v>53.7</v>
      </c>
      <c r="O10" s="8">
        <v>5.5</v>
      </c>
      <c r="P10" s="9">
        <v>0.24399999999999999</v>
      </c>
      <c r="Q10" s="7">
        <v>1.21</v>
      </c>
      <c r="R10" s="7">
        <v>45.1</v>
      </c>
      <c r="S10" s="8">
        <v>19819</v>
      </c>
      <c r="T10" s="8">
        <v>4020</v>
      </c>
    </row>
    <row r="11" spans="1:20" x14ac:dyDescent="0.3">
      <c r="A11" s="6" t="s">
        <v>25</v>
      </c>
      <c r="B11" s="7">
        <v>2024</v>
      </c>
      <c r="C11" s="8">
        <v>1775</v>
      </c>
      <c r="D11" s="8">
        <v>980.1</v>
      </c>
      <c r="E11" s="8">
        <v>1620.4</v>
      </c>
      <c r="F11" s="8">
        <v>34200</v>
      </c>
      <c r="G11" s="9">
        <v>0.625</v>
      </c>
      <c r="H11" s="7" t="s">
        <v>74</v>
      </c>
      <c r="I11" s="9">
        <v>0.245</v>
      </c>
      <c r="J11" s="9">
        <v>0.1845</v>
      </c>
      <c r="K11" s="9">
        <v>3.7499999999999999E-2</v>
      </c>
      <c r="L11" s="9">
        <v>0.53299999999999992</v>
      </c>
      <c r="M11" s="8">
        <v>955140</v>
      </c>
      <c r="N11" s="7">
        <v>120.4</v>
      </c>
      <c r="O11" s="8">
        <v>13.5</v>
      </c>
      <c r="P11" s="9">
        <v>0.122</v>
      </c>
      <c r="Q11" s="7">
        <v>0.82</v>
      </c>
      <c r="R11" s="7">
        <v>48.2</v>
      </c>
      <c r="S11" s="8">
        <v>149982</v>
      </c>
      <c r="T11" s="8">
        <v>7467</v>
      </c>
    </row>
    <row r="12" spans="1:20" x14ac:dyDescent="0.3">
      <c r="A12" s="6" t="s">
        <v>26</v>
      </c>
      <c r="B12" s="7">
        <v>2024</v>
      </c>
      <c r="C12" s="8">
        <v>1702</v>
      </c>
      <c r="D12" s="8">
        <v>1175</v>
      </c>
      <c r="E12" s="8">
        <v>1510.8</v>
      </c>
      <c r="F12" s="8">
        <v>14800</v>
      </c>
      <c r="G12" s="9">
        <v>0.22399999999999998</v>
      </c>
      <c r="H12" s="7" t="s">
        <v>75</v>
      </c>
      <c r="I12" s="9">
        <v>0.25819999999999999</v>
      </c>
      <c r="J12" s="9">
        <v>0.2455</v>
      </c>
      <c r="K12" s="9">
        <v>0.16219999999999998</v>
      </c>
      <c r="L12" s="9">
        <v>0.33409999999999995</v>
      </c>
      <c r="M12" s="8">
        <v>121950</v>
      </c>
      <c r="N12" s="7">
        <v>29.48</v>
      </c>
      <c r="O12" s="8">
        <v>51.25</v>
      </c>
      <c r="P12" s="9">
        <v>0.17499999999999999</v>
      </c>
      <c r="Q12" s="7">
        <v>0.55000000000000004</v>
      </c>
      <c r="R12" s="7">
        <v>32.1</v>
      </c>
      <c r="S12" s="8">
        <v>25774</v>
      </c>
      <c r="T12" s="8">
        <v>4132</v>
      </c>
    </row>
    <row r="13" spans="1:20" x14ac:dyDescent="0.3">
      <c r="A13" s="6" t="s">
        <v>27</v>
      </c>
      <c r="B13" s="7">
        <v>2024</v>
      </c>
      <c r="C13" s="8">
        <v>543.54999999999995</v>
      </c>
      <c r="D13" s="8">
        <v>302.2</v>
      </c>
      <c r="E13" s="8">
        <v>485.4</v>
      </c>
      <c r="F13" s="8">
        <v>12500</v>
      </c>
      <c r="G13" s="9">
        <v>0.40200000000000002</v>
      </c>
      <c r="H13" s="7" t="s">
        <v>76</v>
      </c>
      <c r="I13" s="9">
        <v>8.4199999999999997E-2</v>
      </c>
      <c r="J13" s="9">
        <v>0.23350000000000001</v>
      </c>
      <c r="K13" s="9">
        <v>5.0999999999999997E-2</v>
      </c>
      <c r="L13" s="9">
        <v>0.63129999999999997</v>
      </c>
      <c r="M13" s="8">
        <v>299120</v>
      </c>
      <c r="N13" s="7">
        <v>8.0500000000000007</v>
      </c>
      <c r="O13" s="8">
        <v>60.65</v>
      </c>
      <c r="P13" s="9">
        <v>0.52149999999999996</v>
      </c>
      <c r="Q13" s="7">
        <v>0.88</v>
      </c>
      <c r="R13" s="7">
        <v>12.4</v>
      </c>
      <c r="S13" s="8">
        <v>142324</v>
      </c>
      <c r="T13" s="8">
        <v>37369</v>
      </c>
    </row>
    <row r="14" spans="1:20" x14ac:dyDescent="0.3">
      <c r="A14" s="6" t="s">
        <v>28</v>
      </c>
      <c r="B14" s="7">
        <v>2024</v>
      </c>
      <c r="C14" s="8">
        <v>7101</v>
      </c>
      <c r="D14" s="8">
        <v>5212</v>
      </c>
      <c r="E14" s="8">
        <v>6340.5</v>
      </c>
      <c r="F14" s="8">
        <v>11200</v>
      </c>
      <c r="G14" s="9">
        <v>0.156</v>
      </c>
      <c r="H14" s="7" t="s">
        <v>75</v>
      </c>
      <c r="I14" s="9">
        <v>0.29120000000000001</v>
      </c>
      <c r="J14" s="9">
        <v>0.21340000000000001</v>
      </c>
      <c r="K14" s="9">
        <v>0.22889999999999999</v>
      </c>
      <c r="L14" s="9">
        <v>0.26649999999999996</v>
      </c>
      <c r="M14" s="8">
        <v>105820</v>
      </c>
      <c r="N14" s="7">
        <v>18.97</v>
      </c>
      <c r="O14" s="8">
        <v>334.2</v>
      </c>
      <c r="P14" s="9">
        <v>0.20449999999999999</v>
      </c>
      <c r="Q14" s="7">
        <v>0.52</v>
      </c>
      <c r="R14" s="7">
        <v>32.1</v>
      </c>
      <c r="S14" s="8">
        <v>27916</v>
      </c>
      <c r="T14" s="8">
        <v>5568</v>
      </c>
    </row>
    <row r="15" spans="1:20" x14ac:dyDescent="0.3">
      <c r="A15" s="6" t="s">
        <v>29</v>
      </c>
      <c r="B15" s="7">
        <v>2024</v>
      </c>
      <c r="C15" s="8">
        <v>5105</v>
      </c>
      <c r="D15" s="8">
        <v>3565</v>
      </c>
      <c r="E15" s="8">
        <v>4780.2</v>
      </c>
      <c r="F15" s="8">
        <v>9400</v>
      </c>
      <c r="G15" s="9">
        <v>0.28499999999999998</v>
      </c>
      <c r="H15" s="7" t="s">
        <v>71</v>
      </c>
      <c r="I15" s="9">
        <v>0.29499999999999998</v>
      </c>
      <c r="J15" s="9">
        <v>0.10249999999999999</v>
      </c>
      <c r="K15" s="9">
        <v>0.111</v>
      </c>
      <c r="L15" s="9">
        <v>0.49149999999999999</v>
      </c>
      <c r="M15" s="8">
        <v>130650</v>
      </c>
      <c r="N15" s="7">
        <v>32.6</v>
      </c>
      <c r="O15" s="8">
        <v>146.4</v>
      </c>
      <c r="P15" s="9">
        <v>0.25800000000000001</v>
      </c>
      <c r="Q15" s="7">
        <v>0.75</v>
      </c>
      <c r="R15" s="7">
        <v>34.200000000000003</v>
      </c>
      <c r="S15" s="8">
        <v>16536</v>
      </c>
      <c r="T15" s="8">
        <v>4001</v>
      </c>
    </row>
    <row r="16" spans="1:20" x14ac:dyDescent="0.3">
      <c r="A16" s="6" t="s">
        <v>30</v>
      </c>
      <c r="B16" s="7">
        <v>2024</v>
      </c>
      <c r="C16" s="8">
        <v>368.45</v>
      </c>
      <c r="D16" s="8">
        <v>189.6</v>
      </c>
      <c r="E16" s="8">
        <v>242.18</v>
      </c>
      <c r="F16" s="8">
        <v>1250</v>
      </c>
      <c r="G16" s="9">
        <v>0.67099999999999993</v>
      </c>
      <c r="H16" s="7" t="s">
        <v>77</v>
      </c>
      <c r="I16" s="9">
        <v>0.3624</v>
      </c>
      <c r="J16" s="9">
        <v>0.3271</v>
      </c>
      <c r="K16" s="9">
        <v>0.3105</v>
      </c>
      <c r="L16" s="9">
        <v>0</v>
      </c>
      <c r="M16" s="8">
        <v>225017</v>
      </c>
      <c r="N16" s="7">
        <v>88.97</v>
      </c>
      <c r="O16" s="8">
        <v>2.62</v>
      </c>
      <c r="P16" s="9">
        <v>6.3299999999999995E-2</v>
      </c>
      <c r="Q16" s="7">
        <v>1.27</v>
      </c>
      <c r="R16" s="7">
        <v>150.88</v>
      </c>
      <c r="S16" s="8">
        <v>20443</v>
      </c>
      <c r="T16" s="8">
        <v>527</v>
      </c>
    </row>
    <row r="17" spans="1:20" x14ac:dyDescent="0.3">
      <c r="A17" s="6" t="s">
        <v>31</v>
      </c>
      <c r="B17" s="7">
        <v>2024</v>
      </c>
      <c r="C17" s="8">
        <v>2979</v>
      </c>
      <c r="D17" s="8">
        <v>2465.5</v>
      </c>
      <c r="E17" s="8">
        <v>2817.7</v>
      </c>
      <c r="F17" s="8">
        <v>8400</v>
      </c>
      <c r="G17" s="9">
        <v>0.15920000000000001</v>
      </c>
      <c r="H17" s="7" t="s">
        <v>78</v>
      </c>
      <c r="I17" s="9">
        <v>0.16789999999999999</v>
      </c>
      <c r="J17" s="9">
        <v>0.23</v>
      </c>
      <c r="K17" s="9">
        <v>0.1699</v>
      </c>
      <c r="L17" s="9">
        <v>0.43219999999999997</v>
      </c>
      <c r="M17" s="8">
        <v>178815</v>
      </c>
      <c r="N17" s="7">
        <v>39.700000000000003</v>
      </c>
      <c r="O17" s="8">
        <v>85.29</v>
      </c>
      <c r="P17" s="9">
        <v>9.1999999999999998E-2</v>
      </c>
      <c r="Q17" s="7">
        <v>2.52</v>
      </c>
      <c r="R17" s="7">
        <v>30.76</v>
      </c>
      <c r="S17" s="8">
        <v>130978</v>
      </c>
      <c r="T17" s="8">
        <v>9925</v>
      </c>
    </row>
    <row r="18" spans="1:20" x14ac:dyDescent="0.3">
      <c r="A18" s="6" t="s">
        <v>32</v>
      </c>
      <c r="B18" s="7">
        <v>2024</v>
      </c>
      <c r="C18" s="8">
        <v>1854.8</v>
      </c>
      <c r="D18" s="8">
        <v>1234.3</v>
      </c>
      <c r="E18" s="8">
        <v>1690.4</v>
      </c>
      <c r="F18" s="8">
        <v>18240</v>
      </c>
      <c r="G18" s="9">
        <v>0.15920000000000001</v>
      </c>
      <c r="H18" s="7" t="s">
        <v>79</v>
      </c>
      <c r="I18" s="9">
        <v>0.1825</v>
      </c>
      <c r="J18" s="9">
        <v>0.1542</v>
      </c>
      <c r="K18" s="9">
        <v>5.5199999999999999E-2</v>
      </c>
      <c r="L18" s="9">
        <v>0.60809999999999997</v>
      </c>
      <c r="M18" s="8">
        <v>458920</v>
      </c>
      <c r="N18" s="7">
        <v>29.21</v>
      </c>
      <c r="O18" s="8">
        <v>57.86</v>
      </c>
      <c r="P18" s="9">
        <v>0.23100000000000001</v>
      </c>
      <c r="Q18" s="7">
        <v>0.86</v>
      </c>
      <c r="R18" s="7">
        <v>31.5</v>
      </c>
      <c r="S18" s="8">
        <v>109913</v>
      </c>
      <c r="T18" s="8">
        <v>15702</v>
      </c>
    </row>
    <row r="19" spans="1:20" x14ac:dyDescent="0.3">
      <c r="A19" s="6" t="s">
        <v>33</v>
      </c>
      <c r="B19" s="7">
        <v>2024</v>
      </c>
      <c r="C19" s="8">
        <v>1794</v>
      </c>
      <c r="D19" s="8">
        <v>1363.5</v>
      </c>
      <c r="E19" s="8">
        <v>1750.8</v>
      </c>
      <c r="F19" s="8">
        <v>54600</v>
      </c>
      <c r="G19" s="9">
        <v>0.185</v>
      </c>
      <c r="H19" s="7" t="s">
        <v>70</v>
      </c>
      <c r="I19" s="9">
        <v>0.4783</v>
      </c>
      <c r="J19" s="9">
        <v>0.35119999999999996</v>
      </c>
      <c r="K19" s="9">
        <v>0.17050000000000001</v>
      </c>
      <c r="L19" s="9">
        <v>0</v>
      </c>
      <c r="M19" s="8">
        <v>1331540</v>
      </c>
      <c r="N19" s="7">
        <v>20.5</v>
      </c>
      <c r="O19" s="8">
        <v>84.45</v>
      </c>
      <c r="P19" s="9">
        <v>0.16500000000000001</v>
      </c>
      <c r="Q19" s="7">
        <v>1.1200000000000001</v>
      </c>
      <c r="R19" s="7">
        <v>15.8</v>
      </c>
      <c r="S19" s="8">
        <v>285415</v>
      </c>
      <c r="T19" s="8">
        <v>64060</v>
      </c>
    </row>
    <row r="20" spans="1:20" x14ac:dyDescent="0.3">
      <c r="A20" s="6" t="s">
        <v>34</v>
      </c>
      <c r="B20" s="7">
        <v>2024</v>
      </c>
      <c r="C20" s="8">
        <v>775.7</v>
      </c>
      <c r="D20" s="8">
        <v>511.4</v>
      </c>
      <c r="E20" s="8">
        <v>715.25</v>
      </c>
      <c r="F20" s="8">
        <v>11450</v>
      </c>
      <c r="G20" s="9">
        <v>0.128</v>
      </c>
      <c r="H20" s="7" t="s">
        <v>80</v>
      </c>
      <c r="I20" s="9">
        <v>0.24149999999999999</v>
      </c>
      <c r="J20" s="9">
        <v>0.187</v>
      </c>
      <c r="K20" s="9">
        <v>6.7900000000000002E-2</v>
      </c>
      <c r="L20" s="9">
        <v>0.50360000000000005</v>
      </c>
      <c r="M20" s="8">
        <v>153820</v>
      </c>
      <c r="N20" s="7">
        <v>82.4</v>
      </c>
      <c r="O20" s="8">
        <v>7.3</v>
      </c>
      <c r="P20" s="9">
        <v>0.11199999999999999</v>
      </c>
      <c r="Q20" s="7">
        <v>0.84</v>
      </c>
      <c r="R20" s="7">
        <v>78.5</v>
      </c>
      <c r="S20" s="8">
        <v>62540</v>
      </c>
      <c r="T20" s="8">
        <v>1569</v>
      </c>
    </row>
    <row r="21" spans="1:20" x14ac:dyDescent="0.3">
      <c r="A21" s="6" t="s">
        <v>35</v>
      </c>
      <c r="B21" s="7">
        <v>2024</v>
      </c>
      <c r="C21" s="8">
        <v>715.1</v>
      </c>
      <c r="D21" s="8">
        <v>505.55</v>
      </c>
      <c r="E21" s="8">
        <v>695.4</v>
      </c>
      <c r="F21" s="8">
        <v>16800</v>
      </c>
      <c r="G21" s="9">
        <v>0.152</v>
      </c>
      <c r="H21" s="7" t="s">
        <v>81</v>
      </c>
      <c r="I21" s="9">
        <v>0.252</v>
      </c>
      <c r="J21" s="9">
        <v>0.26150000000000001</v>
      </c>
      <c r="K21" s="9">
        <v>0.1401</v>
      </c>
      <c r="L21" s="9">
        <v>0.34639999999999999</v>
      </c>
      <c r="M21" s="8">
        <v>156210</v>
      </c>
      <c r="N21" s="7">
        <v>15.42</v>
      </c>
      <c r="O21" s="8">
        <v>45.1</v>
      </c>
      <c r="P21" s="9">
        <v>0.11849999999999999</v>
      </c>
      <c r="Q21" s="7">
        <v>1.38</v>
      </c>
      <c r="R21" s="7">
        <v>18.5</v>
      </c>
      <c r="S21" s="8">
        <v>215962</v>
      </c>
      <c r="T21" s="8">
        <v>10155</v>
      </c>
    </row>
    <row r="22" spans="1:20" x14ac:dyDescent="0.3">
      <c r="A22" s="6" t="s">
        <v>36</v>
      </c>
      <c r="B22" s="7">
        <v>2024</v>
      </c>
      <c r="C22" s="8">
        <v>3034.5</v>
      </c>
      <c r="D22" s="8">
        <v>2235</v>
      </c>
      <c r="E22" s="8">
        <v>2820.4</v>
      </c>
      <c r="F22" s="8">
        <v>12900</v>
      </c>
      <c r="G22" s="9">
        <v>0.105</v>
      </c>
      <c r="H22" s="7" t="s">
        <v>82</v>
      </c>
      <c r="I22" s="9">
        <v>0.1265</v>
      </c>
      <c r="J22" s="9">
        <v>0.1242</v>
      </c>
      <c r="K22" s="9">
        <v>0.1303</v>
      </c>
      <c r="L22" s="9">
        <v>0.61899999999999999</v>
      </c>
      <c r="M22" s="8">
        <v>662540</v>
      </c>
      <c r="N22" s="7">
        <v>65.5</v>
      </c>
      <c r="O22" s="8">
        <v>43.05</v>
      </c>
      <c r="P22" s="9">
        <v>0.19800000000000001</v>
      </c>
      <c r="Q22" s="7">
        <v>0.62</v>
      </c>
      <c r="R22" s="7">
        <v>52.2</v>
      </c>
      <c r="S22" s="8">
        <v>61896</v>
      </c>
      <c r="T22" s="8">
        <v>10114</v>
      </c>
    </row>
    <row r="23" spans="1:20" x14ac:dyDescent="0.3">
      <c r="A23" s="6" t="s">
        <v>37</v>
      </c>
      <c r="B23" s="7">
        <v>2024</v>
      </c>
      <c r="C23" s="8">
        <v>1362.35</v>
      </c>
      <c r="D23" s="8">
        <v>982</v>
      </c>
      <c r="E23" s="8">
        <v>1285.5999999999999</v>
      </c>
      <c r="F23" s="8">
        <v>38400</v>
      </c>
      <c r="G23" s="9">
        <v>0.22399999999999998</v>
      </c>
      <c r="H23" s="7" t="s">
        <v>70</v>
      </c>
      <c r="I23" s="9">
        <v>0.44750000000000001</v>
      </c>
      <c r="J23" s="9">
        <v>0.45319999999999999</v>
      </c>
      <c r="K23" s="9">
        <v>9.9299999999999999E-2</v>
      </c>
      <c r="L23" s="9">
        <v>0</v>
      </c>
      <c r="M23" s="8">
        <v>904250</v>
      </c>
      <c r="N23" s="7">
        <v>18.45</v>
      </c>
      <c r="O23" s="8">
        <v>58.3</v>
      </c>
      <c r="P23" s="9">
        <v>0.18600000000000003</v>
      </c>
      <c r="Q23" s="7">
        <v>1.08</v>
      </c>
      <c r="R23" s="7">
        <v>15.8</v>
      </c>
      <c r="S23" s="8">
        <v>186854</v>
      </c>
      <c r="T23" s="8">
        <v>40888</v>
      </c>
    </row>
    <row r="24" spans="1:20" x14ac:dyDescent="0.3">
      <c r="A24" s="6" t="s">
        <v>38</v>
      </c>
      <c r="B24" s="7">
        <v>2024</v>
      </c>
      <c r="C24" s="8">
        <v>528.54999999999995</v>
      </c>
      <c r="D24" s="8">
        <v>399.3</v>
      </c>
      <c r="E24" s="8">
        <v>492.15</v>
      </c>
      <c r="F24" s="8">
        <v>22400</v>
      </c>
      <c r="G24" s="9">
        <v>0.14800000000000002</v>
      </c>
      <c r="H24" s="7" t="s">
        <v>82</v>
      </c>
      <c r="I24" s="9">
        <v>0.41399999999999998</v>
      </c>
      <c r="J24" s="9">
        <v>0.42149999999999999</v>
      </c>
      <c r="K24" s="9">
        <v>0.16449999999999998</v>
      </c>
      <c r="L24" s="9">
        <v>0</v>
      </c>
      <c r="M24" s="8">
        <v>615480</v>
      </c>
      <c r="N24" s="7">
        <v>30.1</v>
      </c>
      <c r="O24" s="8">
        <v>16.399999999999999</v>
      </c>
      <c r="P24" s="9">
        <v>0.28199999999999997</v>
      </c>
      <c r="Q24" s="7">
        <v>0.68</v>
      </c>
      <c r="R24" s="7">
        <v>45.5</v>
      </c>
      <c r="S24" s="8">
        <v>70864</v>
      </c>
      <c r="T24" s="8">
        <v>20422</v>
      </c>
    </row>
    <row r="25" spans="1:20" x14ac:dyDescent="0.3">
      <c r="A25" s="6" t="s">
        <v>39</v>
      </c>
      <c r="B25" s="7">
        <v>2024</v>
      </c>
      <c r="C25" s="8">
        <v>1991.45</v>
      </c>
      <c r="D25" s="8">
        <v>1358.35</v>
      </c>
      <c r="E25" s="8">
        <v>1880.2</v>
      </c>
      <c r="F25" s="8">
        <v>24500</v>
      </c>
      <c r="G25" s="9">
        <v>0.22500000000000001</v>
      </c>
      <c r="H25" s="7" t="s">
        <v>79</v>
      </c>
      <c r="I25" s="9">
        <v>0.34119999999999995</v>
      </c>
      <c r="J25" s="9">
        <v>0.35450000000000004</v>
      </c>
      <c r="K25" s="9">
        <v>0.15720000000000001</v>
      </c>
      <c r="L25" s="9">
        <v>0.14710000000000001</v>
      </c>
      <c r="M25" s="8">
        <v>780500</v>
      </c>
      <c r="N25" s="7">
        <v>29.7</v>
      </c>
      <c r="O25" s="8">
        <v>63.3</v>
      </c>
      <c r="P25" s="9">
        <v>0.30399999999999999</v>
      </c>
      <c r="Q25" s="7">
        <v>0.92</v>
      </c>
      <c r="R25" s="7">
        <v>31.5</v>
      </c>
      <c r="S25" s="8">
        <v>153670</v>
      </c>
      <c r="T25" s="8">
        <v>26233</v>
      </c>
    </row>
    <row r="26" spans="1:20" x14ac:dyDescent="0.3">
      <c r="A26" s="6" t="s">
        <v>40</v>
      </c>
      <c r="B26" s="7">
        <v>2024</v>
      </c>
      <c r="C26" s="8">
        <v>4610</v>
      </c>
      <c r="D26" s="8">
        <v>2920</v>
      </c>
      <c r="E26" s="8">
        <v>4380</v>
      </c>
      <c r="F26" s="8">
        <v>14200</v>
      </c>
      <c r="G26" s="9">
        <v>0.48200000000000004</v>
      </c>
      <c r="H26" s="7" t="s">
        <v>83</v>
      </c>
      <c r="I26" s="9">
        <v>0.2366</v>
      </c>
      <c r="J26" s="9">
        <v>0.1482</v>
      </c>
      <c r="K26" s="9">
        <v>6.2300000000000001E-2</v>
      </c>
      <c r="L26" s="9">
        <v>0.55289999999999995</v>
      </c>
      <c r="M26" s="8">
        <v>169420</v>
      </c>
      <c r="N26" s="7">
        <v>20.65</v>
      </c>
      <c r="O26" s="8">
        <v>211.85</v>
      </c>
      <c r="P26" s="9" t="s">
        <v>95</v>
      </c>
      <c r="Q26" s="7">
        <v>1.24</v>
      </c>
      <c r="R26" s="7">
        <v>24.1</v>
      </c>
      <c r="S26" s="8">
        <v>68904</v>
      </c>
      <c r="T26" s="8">
        <v>8172</v>
      </c>
    </row>
    <row r="27" spans="1:20" x14ac:dyDescent="0.3">
      <c r="A27" s="6" t="s">
        <v>41</v>
      </c>
      <c r="B27" s="7">
        <v>2024</v>
      </c>
      <c r="C27" s="8">
        <v>1065.7</v>
      </c>
      <c r="D27" s="8">
        <v>760.3</v>
      </c>
      <c r="E27" s="8">
        <v>995.1</v>
      </c>
      <c r="F27" s="8">
        <v>12450</v>
      </c>
      <c r="G27" s="9">
        <v>0.28399999999999997</v>
      </c>
      <c r="H27" s="7" t="s">
        <v>84</v>
      </c>
      <c r="I27" s="9">
        <v>0.2452</v>
      </c>
      <c r="J27" s="9">
        <v>0.10150000000000001</v>
      </c>
      <c r="K27" s="9">
        <v>0.20519999999999999</v>
      </c>
      <c r="L27" s="9">
        <v>0.4481</v>
      </c>
      <c r="M27" s="8">
        <v>242850</v>
      </c>
      <c r="N27" s="7">
        <v>27.18</v>
      </c>
      <c r="O27" s="8">
        <v>36.6</v>
      </c>
      <c r="P27" s="9">
        <v>0.1245</v>
      </c>
      <c r="Q27" s="7">
        <v>1.42</v>
      </c>
      <c r="R27" s="7">
        <v>18.5</v>
      </c>
      <c r="S27" s="8">
        <v>175006</v>
      </c>
      <c r="T27" s="8">
        <v>8938</v>
      </c>
    </row>
    <row r="28" spans="1:20" x14ac:dyDescent="0.3">
      <c r="A28" s="6" t="s">
        <v>42</v>
      </c>
      <c r="B28" s="7">
        <v>2024</v>
      </c>
      <c r="C28" s="8">
        <v>394.7</v>
      </c>
      <c r="D28" s="8">
        <v>221</v>
      </c>
      <c r="E28" s="8">
        <v>365.2</v>
      </c>
      <c r="F28" s="8">
        <v>28900</v>
      </c>
      <c r="G28" s="9">
        <v>0.42499999999999999</v>
      </c>
      <c r="H28" s="7" t="s">
        <v>72</v>
      </c>
      <c r="I28" s="9">
        <v>0.17550000000000002</v>
      </c>
      <c r="J28" s="9">
        <v>0.14199999999999999</v>
      </c>
      <c r="K28" s="9">
        <v>0.21129999999999999</v>
      </c>
      <c r="L28" s="9">
        <v>0.47119999999999995</v>
      </c>
      <c r="M28" s="8">
        <v>232040</v>
      </c>
      <c r="N28" s="7">
        <v>146.1</v>
      </c>
      <c r="O28" s="8">
        <v>2.5</v>
      </c>
      <c r="P28" s="9">
        <v>1.4999999999999999E-2</v>
      </c>
      <c r="Q28" s="7">
        <v>1.18</v>
      </c>
      <c r="R28" s="7">
        <v>28.4</v>
      </c>
      <c r="S28" s="8">
        <v>1855</v>
      </c>
      <c r="T28" s="8">
        <v>1605</v>
      </c>
    </row>
    <row r="29" spans="1:20" x14ac:dyDescent="0.3">
      <c r="A29" s="6" t="s">
        <v>43</v>
      </c>
      <c r="B29" s="7">
        <v>2024</v>
      </c>
      <c r="C29" s="8">
        <v>1947</v>
      </c>
      <c r="D29" s="8">
        <v>1530</v>
      </c>
      <c r="E29" s="8">
        <v>1875.4</v>
      </c>
      <c r="F29" s="8">
        <v>14800</v>
      </c>
      <c r="G29" s="9">
        <v>0.115</v>
      </c>
      <c r="H29" s="7" t="s">
        <v>70</v>
      </c>
      <c r="I29" s="9">
        <v>0.37640000000000001</v>
      </c>
      <c r="J29" s="9">
        <v>0.22500000000000001</v>
      </c>
      <c r="K29" s="9">
        <v>0.13970000000000002</v>
      </c>
      <c r="L29" s="9">
        <v>0.25890000000000002</v>
      </c>
      <c r="M29" s="8">
        <v>372500</v>
      </c>
      <c r="N29" s="7">
        <v>27.05</v>
      </c>
      <c r="O29" s="8">
        <v>69.349999999999994</v>
      </c>
      <c r="P29" s="9">
        <v>0.14800000000000002</v>
      </c>
      <c r="Q29" s="7">
        <v>1.05</v>
      </c>
      <c r="R29" s="7">
        <v>15.8</v>
      </c>
      <c r="S29" s="8">
        <v>62540</v>
      </c>
      <c r="T29" s="8">
        <v>13782</v>
      </c>
    </row>
    <row r="30" spans="1:20" x14ac:dyDescent="0.3">
      <c r="A30" s="6" t="s">
        <v>44</v>
      </c>
      <c r="B30" s="7">
        <v>2024</v>
      </c>
      <c r="C30" s="8">
        <v>3948.6</v>
      </c>
      <c r="D30" s="8">
        <v>3210.15</v>
      </c>
      <c r="E30" s="8">
        <v>3820.4</v>
      </c>
      <c r="F30" s="8">
        <v>19500</v>
      </c>
      <c r="G30" s="9">
        <v>0.19800000000000001</v>
      </c>
      <c r="H30" s="7" t="s">
        <v>85</v>
      </c>
      <c r="I30" s="9">
        <v>0.25719999999999998</v>
      </c>
      <c r="J30" s="9">
        <v>0.3715</v>
      </c>
      <c r="K30" s="9">
        <v>0.37130000000000002</v>
      </c>
      <c r="L30" s="9">
        <v>0</v>
      </c>
      <c r="M30" s="8">
        <v>522140</v>
      </c>
      <c r="N30" s="7">
        <v>41.15</v>
      </c>
      <c r="O30" s="8">
        <v>92.85</v>
      </c>
      <c r="P30" s="9">
        <v>0.153</v>
      </c>
      <c r="Q30" s="7">
        <v>0.95</v>
      </c>
      <c r="R30" s="7">
        <v>38.4</v>
      </c>
      <c r="S30" s="8">
        <v>475000</v>
      </c>
      <c r="T30" s="8">
        <v>13059</v>
      </c>
    </row>
    <row r="31" spans="1:20" x14ac:dyDescent="0.3">
      <c r="A31" s="6" t="s">
        <v>45</v>
      </c>
      <c r="B31" s="7">
        <v>2024</v>
      </c>
      <c r="C31" s="8">
        <v>3220</v>
      </c>
      <c r="D31" s="8">
        <v>1620.4</v>
      </c>
      <c r="E31" s="8">
        <v>3115.6</v>
      </c>
      <c r="F31" s="8">
        <v>22100</v>
      </c>
      <c r="G31" s="9">
        <v>0.85199999999999998</v>
      </c>
      <c r="H31" s="7" t="s">
        <v>71</v>
      </c>
      <c r="I31" s="9">
        <v>0.40149999999999997</v>
      </c>
      <c r="J31" s="9">
        <v>0.26419999999999999</v>
      </c>
      <c r="K31" s="9">
        <v>0.1411</v>
      </c>
      <c r="L31" s="9">
        <v>0.19320000000000001</v>
      </c>
      <c r="M31" s="8">
        <v>387420</v>
      </c>
      <c r="N31" s="7">
        <v>34.65</v>
      </c>
      <c r="O31" s="8">
        <v>90.65</v>
      </c>
      <c r="P31" s="9">
        <v>0.184</v>
      </c>
      <c r="Q31" s="7">
        <v>1.1200000000000001</v>
      </c>
      <c r="R31" s="7">
        <v>22.8</v>
      </c>
      <c r="S31" s="8">
        <v>139078</v>
      </c>
      <c r="T31" s="8">
        <v>11269</v>
      </c>
    </row>
    <row r="32" spans="1:20" x14ac:dyDescent="0.3">
      <c r="A32" s="6" t="s">
        <v>46</v>
      </c>
      <c r="B32" s="7">
        <v>2024</v>
      </c>
      <c r="C32" s="8">
        <v>13397</v>
      </c>
      <c r="D32" s="8">
        <v>9770</v>
      </c>
      <c r="E32" s="8">
        <v>12150</v>
      </c>
      <c r="F32" s="8">
        <v>18600</v>
      </c>
      <c r="G32" s="9">
        <v>0.215</v>
      </c>
      <c r="H32" s="7" t="s">
        <v>71</v>
      </c>
      <c r="I32" s="9">
        <v>0.20550000000000002</v>
      </c>
      <c r="J32" s="9">
        <v>0.152</v>
      </c>
      <c r="K32" s="9">
        <v>6.0599999999999994E-2</v>
      </c>
      <c r="L32" s="9">
        <v>0.58189999999999997</v>
      </c>
      <c r="M32" s="8">
        <v>382100</v>
      </c>
      <c r="N32" s="7">
        <v>27.8</v>
      </c>
      <c r="O32" s="8">
        <v>437.2</v>
      </c>
      <c r="P32" s="9">
        <v>0.16850000000000001</v>
      </c>
      <c r="Q32" s="7">
        <v>0.88</v>
      </c>
      <c r="R32" s="7">
        <v>22.8</v>
      </c>
      <c r="S32" s="8">
        <v>140933</v>
      </c>
      <c r="T32" s="8">
        <v>13209</v>
      </c>
    </row>
    <row r="33" spans="1:20" x14ac:dyDescent="0.3">
      <c r="A33" s="6" t="s">
        <v>47</v>
      </c>
      <c r="B33" s="7">
        <v>2024</v>
      </c>
      <c r="C33" s="8">
        <v>1090</v>
      </c>
      <c r="D33" s="8">
        <v>650.4</v>
      </c>
      <c r="E33" s="8">
        <v>1045.75</v>
      </c>
      <c r="F33" s="8">
        <v>9800</v>
      </c>
      <c r="G33" s="9">
        <v>0.52400000000000002</v>
      </c>
      <c r="H33" s="7" t="s">
        <v>86</v>
      </c>
      <c r="I33" s="9">
        <v>0.53100000000000003</v>
      </c>
      <c r="J33" s="9">
        <v>0.152</v>
      </c>
      <c r="K33" s="9">
        <v>7.9500000000000001E-2</v>
      </c>
      <c r="L33" s="9">
        <v>0.23749999999999999</v>
      </c>
      <c r="M33" s="8">
        <v>101520</v>
      </c>
      <c r="N33" s="7">
        <v>83.6</v>
      </c>
      <c r="O33" s="8">
        <v>12.5</v>
      </c>
      <c r="P33" s="9">
        <v>0.14199999999999999</v>
      </c>
      <c r="Q33" s="7">
        <v>0.82</v>
      </c>
      <c r="R33" s="7">
        <v>45.2</v>
      </c>
      <c r="S33" s="8">
        <v>7214</v>
      </c>
      <c r="T33" s="8">
        <v>1215</v>
      </c>
    </row>
    <row r="34" spans="1:20" x14ac:dyDescent="0.3">
      <c r="A34" s="6" t="s">
        <v>48</v>
      </c>
      <c r="B34" s="7">
        <v>2024</v>
      </c>
      <c r="C34" s="8">
        <v>448.45</v>
      </c>
      <c r="D34" s="8">
        <v>290.10000000000002</v>
      </c>
      <c r="E34" s="8">
        <v>420.3</v>
      </c>
      <c r="F34" s="8">
        <v>11200</v>
      </c>
      <c r="G34" s="9">
        <v>0.35600000000000004</v>
      </c>
      <c r="H34" s="7" t="s">
        <v>87</v>
      </c>
      <c r="I34" s="9">
        <v>0.17850000000000002</v>
      </c>
      <c r="J34" s="9">
        <v>0.26899999999999996</v>
      </c>
      <c r="K34" s="9">
        <v>4.1500000000000002E-2</v>
      </c>
      <c r="L34" s="9">
        <v>0.51100000000000001</v>
      </c>
      <c r="M34" s="8">
        <v>407540</v>
      </c>
      <c r="N34" s="7">
        <v>19.100000000000001</v>
      </c>
      <c r="O34" s="8">
        <v>22</v>
      </c>
      <c r="P34" s="9">
        <v>0.13800000000000001</v>
      </c>
      <c r="Q34" s="7">
        <v>0.85</v>
      </c>
      <c r="R34" s="7">
        <v>23.5</v>
      </c>
      <c r="S34" s="8">
        <v>176215</v>
      </c>
      <c r="T34" s="8">
        <v>21332</v>
      </c>
    </row>
    <row r="35" spans="1:20" x14ac:dyDescent="0.3">
      <c r="A35" s="6" t="s">
        <v>49</v>
      </c>
      <c r="B35" s="7">
        <v>2024</v>
      </c>
      <c r="C35" s="8">
        <v>2770.75</v>
      </c>
      <c r="D35" s="8">
        <v>2242</v>
      </c>
      <c r="E35" s="8">
        <v>2610.3000000000002</v>
      </c>
      <c r="F35" s="8">
        <v>9450</v>
      </c>
      <c r="G35" s="9">
        <v>0.128</v>
      </c>
      <c r="H35" s="7" t="s">
        <v>82</v>
      </c>
      <c r="I35" s="9">
        <v>0.121</v>
      </c>
      <c r="J35" s="9">
        <v>9.1499999999999998E-2</v>
      </c>
      <c r="K35" s="9">
        <v>0.15990000000000001</v>
      </c>
      <c r="L35" s="9">
        <v>0.62759999999999994</v>
      </c>
      <c r="M35" s="8">
        <v>251680</v>
      </c>
      <c r="N35" s="7">
        <v>77.5</v>
      </c>
      <c r="O35" s="8">
        <v>33.65</v>
      </c>
      <c r="P35" s="9">
        <v>1.0840000000000001</v>
      </c>
      <c r="Q35" s="7">
        <v>0.57999999999999996</v>
      </c>
      <c r="R35" s="7">
        <v>48.2</v>
      </c>
      <c r="S35" s="8">
        <v>19121</v>
      </c>
      <c r="T35" s="8">
        <v>3245</v>
      </c>
    </row>
    <row r="36" spans="1:20" x14ac:dyDescent="0.3">
      <c r="A36" s="6" t="s">
        <v>50</v>
      </c>
      <c r="B36" s="7">
        <v>2024</v>
      </c>
      <c r="C36" s="8">
        <v>344.6</v>
      </c>
      <c r="D36" s="8">
        <v>201.2</v>
      </c>
      <c r="E36" s="8">
        <v>315.39999999999998</v>
      </c>
      <c r="F36" s="8">
        <v>16800</v>
      </c>
      <c r="G36" s="9">
        <v>0.54200000000000004</v>
      </c>
      <c r="H36" s="7" t="s">
        <v>88</v>
      </c>
      <c r="I36" s="9">
        <v>9.0999999999999998E-2</v>
      </c>
      <c r="J36" s="9">
        <v>0.19800000000000001</v>
      </c>
      <c r="K36" s="9">
        <v>0.12210000000000001</v>
      </c>
      <c r="L36" s="9">
        <v>0.58889999999999998</v>
      </c>
      <c r="M36" s="8">
        <v>396780</v>
      </c>
      <c r="N36" s="7">
        <v>6.95</v>
      </c>
      <c r="O36" s="8">
        <v>45.4</v>
      </c>
      <c r="P36" s="9">
        <v>0.14099999999999999</v>
      </c>
      <c r="Q36" s="7">
        <v>0.92</v>
      </c>
      <c r="R36" s="7">
        <v>12.4</v>
      </c>
      <c r="S36" s="8">
        <v>643000</v>
      </c>
      <c r="T36" s="8">
        <v>57101</v>
      </c>
    </row>
    <row r="37" spans="1:20" x14ac:dyDescent="0.3">
      <c r="A37" s="6" t="s">
        <v>51</v>
      </c>
      <c r="B37" s="7">
        <v>2024</v>
      </c>
      <c r="C37" s="8">
        <v>366.25</v>
      </c>
      <c r="D37" s="8">
        <v>230.15</v>
      </c>
      <c r="E37" s="8">
        <v>345.8</v>
      </c>
      <c r="F37" s="8">
        <v>10200</v>
      </c>
      <c r="G37" s="9">
        <v>0.44500000000000001</v>
      </c>
      <c r="H37" s="7" t="s">
        <v>89</v>
      </c>
      <c r="I37" s="9">
        <v>0.28600000000000003</v>
      </c>
      <c r="J37" s="9">
        <v>0.1215</v>
      </c>
      <c r="K37" s="9">
        <v>7.9100000000000004E-2</v>
      </c>
      <c r="L37" s="9">
        <v>0.51340000000000008</v>
      </c>
      <c r="M37" s="8">
        <v>321650</v>
      </c>
      <c r="N37" s="7">
        <v>20.65</v>
      </c>
      <c r="O37" s="8">
        <v>16.75</v>
      </c>
      <c r="P37" s="9">
        <v>0.182</v>
      </c>
      <c r="Q37" s="7">
        <v>0.78</v>
      </c>
      <c r="R37" s="7">
        <v>23.5</v>
      </c>
      <c r="S37" s="8">
        <v>45855</v>
      </c>
      <c r="T37" s="8">
        <v>15573</v>
      </c>
    </row>
    <row r="38" spans="1:20" x14ac:dyDescent="0.3">
      <c r="A38" s="6" t="s">
        <v>52</v>
      </c>
      <c r="B38" s="7">
        <v>2024</v>
      </c>
      <c r="C38" s="8">
        <v>3217.1</v>
      </c>
      <c r="D38" s="8">
        <v>2550</v>
      </c>
      <c r="E38" s="8">
        <v>3015.4</v>
      </c>
      <c r="F38" s="8">
        <v>65800</v>
      </c>
      <c r="G38" s="9">
        <v>0.185</v>
      </c>
      <c r="H38" s="7" t="s">
        <v>90</v>
      </c>
      <c r="I38" s="9">
        <v>0.221</v>
      </c>
      <c r="J38" s="9">
        <v>0.16550000000000001</v>
      </c>
      <c r="K38" s="9">
        <v>0.11019999999999999</v>
      </c>
      <c r="L38" s="9">
        <v>0.50329999999999997</v>
      </c>
      <c r="M38" s="8">
        <v>2040500</v>
      </c>
      <c r="N38" s="7">
        <v>29.25</v>
      </c>
      <c r="O38" s="8">
        <v>103</v>
      </c>
      <c r="P38" s="9">
        <v>9.5000000000000001E-2</v>
      </c>
      <c r="Q38" s="7">
        <v>1.08</v>
      </c>
      <c r="R38" s="7">
        <v>24.1</v>
      </c>
      <c r="S38" s="8">
        <v>914472</v>
      </c>
      <c r="T38" s="8">
        <v>69621</v>
      </c>
    </row>
    <row r="39" spans="1:20" x14ac:dyDescent="0.3">
      <c r="A39" s="6" t="s">
        <v>53</v>
      </c>
      <c r="B39" s="7">
        <v>2024</v>
      </c>
      <c r="C39" s="8">
        <v>1938</v>
      </c>
      <c r="D39" s="8">
        <v>1340</v>
      </c>
      <c r="E39" s="8">
        <v>1810</v>
      </c>
      <c r="F39" s="8">
        <v>8200</v>
      </c>
      <c r="G39" s="9">
        <v>0.28499999999999998</v>
      </c>
      <c r="H39" s="7" t="s">
        <v>80</v>
      </c>
      <c r="I39" s="9">
        <v>0.24149999999999999</v>
      </c>
      <c r="J39" s="9">
        <v>0.14800000000000002</v>
      </c>
      <c r="K39" s="9">
        <v>5.6299999999999996E-2</v>
      </c>
      <c r="L39" s="9">
        <v>0.55420000000000003</v>
      </c>
      <c r="M39" s="8">
        <v>181250</v>
      </c>
      <c r="N39" s="7">
        <v>95.5</v>
      </c>
      <c r="O39" s="8">
        <v>18.95</v>
      </c>
      <c r="P39" s="9">
        <v>0.13500000000000001</v>
      </c>
      <c r="Q39" s="7">
        <v>0.72</v>
      </c>
      <c r="R39" s="7">
        <v>78.5</v>
      </c>
      <c r="S39" s="8">
        <v>34350</v>
      </c>
      <c r="T39" s="8">
        <v>1894</v>
      </c>
    </row>
    <row r="40" spans="1:20" x14ac:dyDescent="0.3">
      <c r="A40" s="6" t="s">
        <v>54</v>
      </c>
      <c r="B40" s="7">
        <v>2024</v>
      </c>
      <c r="C40" s="8">
        <v>3250</v>
      </c>
      <c r="D40" s="8">
        <v>2010.4</v>
      </c>
      <c r="E40" s="8">
        <v>3120.5</v>
      </c>
      <c r="F40" s="8">
        <v>12400</v>
      </c>
      <c r="G40" s="9">
        <v>0.51200000000000001</v>
      </c>
      <c r="H40" s="7" t="s">
        <v>91</v>
      </c>
      <c r="I40" s="9">
        <v>0.53849999999999998</v>
      </c>
      <c r="J40" s="9">
        <v>0.151</v>
      </c>
      <c r="K40" s="9">
        <v>5.6500000000000002E-2</v>
      </c>
      <c r="L40" s="9">
        <v>0.254</v>
      </c>
      <c r="M40" s="8">
        <v>117240</v>
      </c>
      <c r="N40" s="7">
        <v>16.3</v>
      </c>
      <c r="O40" s="8">
        <v>191.6</v>
      </c>
      <c r="P40" s="9">
        <v>0.158</v>
      </c>
      <c r="Q40" s="7">
        <v>1.25</v>
      </c>
      <c r="R40" s="7">
        <v>18.399999999999999</v>
      </c>
      <c r="S40" s="8">
        <v>224862</v>
      </c>
      <c r="T40" s="8">
        <v>7190</v>
      </c>
    </row>
    <row r="41" spans="1:20" x14ac:dyDescent="0.3">
      <c r="A41" s="6" t="s">
        <v>55</v>
      </c>
      <c r="B41" s="7">
        <v>2024</v>
      </c>
      <c r="C41" s="8">
        <v>912.1</v>
      </c>
      <c r="D41" s="8">
        <v>600.65</v>
      </c>
      <c r="E41" s="8">
        <v>845.3</v>
      </c>
      <c r="F41" s="8">
        <v>38400</v>
      </c>
      <c r="G41" s="9">
        <v>0.32500000000000001</v>
      </c>
      <c r="H41" s="7" t="s">
        <v>70</v>
      </c>
      <c r="I41" s="9">
        <v>0.111</v>
      </c>
      <c r="J41" s="9">
        <v>0.24199999999999999</v>
      </c>
      <c r="K41" s="9">
        <v>7.1599999999999997E-2</v>
      </c>
      <c r="L41" s="9">
        <v>0.57540000000000002</v>
      </c>
      <c r="M41" s="8">
        <v>754350</v>
      </c>
      <c r="N41" s="7">
        <v>12.35</v>
      </c>
      <c r="O41" s="8">
        <v>68.45</v>
      </c>
      <c r="P41" s="9">
        <v>0.185</v>
      </c>
      <c r="Q41" s="7">
        <v>1.1499999999999999</v>
      </c>
      <c r="R41" s="7">
        <v>14.8</v>
      </c>
      <c r="S41" s="8">
        <v>4916000</v>
      </c>
      <c r="T41" s="8">
        <v>61077</v>
      </c>
    </row>
    <row r="42" spans="1:20" x14ac:dyDescent="0.3">
      <c r="A42" s="6" t="s">
        <v>56</v>
      </c>
      <c r="B42" s="7">
        <v>2024</v>
      </c>
      <c r="C42" s="8">
        <v>1960</v>
      </c>
      <c r="D42" s="8">
        <v>1250.4000000000001</v>
      </c>
      <c r="E42" s="8">
        <v>1885.75</v>
      </c>
      <c r="F42" s="8">
        <v>14500</v>
      </c>
      <c r="G42" s="9">
        <v>0.48200000000000004</v>
      </c>
      <c r="H42" s="7" t="s">
        <v>75</v>
      </c>
      <c r="I42" s="9">
        <v>0.17199999999999999</v>
      </c>
      <c r="J42" s="9">
        <v>0.19550000000000001</v>
      </c>
      <c r="K42" s="9">
        <v>8.77E-2</v>
      </c>
      <c r="L42" s="9">
        <v>0.54479999999999995</v>
      </c>
      <c r="M42" s="8">
        <v>452480</v>
      </c>
      <c r="N42" s="7">
        <v>47.25</v>
      </c>
      <c r="O42" s="8">
        <v>39.9</v>
      </c>
      <c r="P42" s="9">
        <v>0.16399999999999998</v>
      </c>
      <c r="Q42" s="7">
        <v>0.55000000000000004</v>
      </c>
      <c r="R42" s="7">
        <v>38.4</v>
      </c>
      <c r="S42" s="8">
        <v>48497</v>
      </c>
      <c r="T42" s="8">
        <v>9576</v>
      </c>
    </row>
    <row r="43" spans="1:20" x14ac:dyDescent="0.3">
      <c r="A43" s="6" t="s">
        <v>57</v>
      </c>
      <c r="B43" s="7">
        <v>2024</v>
      </c>
      <c r="C43" s="8">
        <v>4585.8999999999996</v>
      </c>
      <c r="D43" s="8">
        <v>3650</v>
      </c>
      <c r="E43" s="8">
        <v>4310.2</v>
      </c>
      <c r="F43" s="8">
        <v>42500</v>
      </c>
      <c r="G43" s="9">
        <v>0.182</v>
      </c>
      <c r="H43" s="7" t="s">
        <v>79</v>
      </c>
      <c r="I43" s="9">
        <v>0.1245</v>
      </c>
      <c r="J43" s="9">
        <v>0.10199999999999999</v>
      </c>
      <c r="K43" s="9">
        <v>5.5800000000000002E-2</v>
      </c>
      <c r="L43" s="9">
        <v>0.7177</v>
      </c>
      <c r="M43" s="8">
        <v>1560850</v>
      </c>
      <c r="N43" s="7">
        <v>33.5</v>
      </c>
      <c r="O43" s="8">
        <v>128.5</v>
      </c>
      <c r="P43" s="9">
        <v>0.51500000000000001</v>
      </c>
      <c r="Q43" s="7">
        <v>0.62</v>
      </c>
      <c r="R43" s="7">
        <v>31.2</v>
      </c>
      <c r="S43" s="8">
        <v>240893</v>
      </c>
      <c r="T43" s="8">
        <v>46585</v>
      </c>
    </row>
    <row r="44" spans="1:20" x14ac:dyDescent="0.3">
      <c r="A44" s="6" t="s">
        <v>58</v>
      </c>
      <c r="B44" s="7">
        <v>2024</v>
      </c>
      <c r="C44" s="8">
        <v>1310</v>
      </c>
      <c r="D44" s="8">
        <v>1020.5</v>
      </c>
      <c r="E44" s="8">
        <v>1215.4000000000001</v>
      </c>
      <c r="F44" s="8">
        <v>5800</v>
      </c>
      <c r="G44" s="9">
        <v>0.191</v>
      </c>
      <c r="H44" s="7" t="s">
        <v>82</v>
      </c>
      <c r="I44" s="9">
        <v>0.252</v>
      </c>
      <c r="J44" s="9">
        <v>0.16800000000000001</v>
      </c>
      <c r="K44" s="9">
        <v>0.23550000000000001</v>
      </c>
      <c r="L44" s="9">
        <v>0.34450000000000003</v>
      </c>
      <c r="M44" s="8">
        <v>115480</v>
      </c>
      <c r="N44" s="7">
        <v>87.1</v>
      </c>
      <c r="O44" s="8">
        <v>13.95</v>
      </c>
      <c r="P44" s="9">
        <v>7.4999999999999997E-2</v>
      </c>
      <c r="Q44" s="7">
        <v>0.57999999999999996</v>
      </c>
      <c r="R44" s="7">
        <v>55.4</v>
      </c>
      <c r="S44" s="8">
        <v>15206</v>
      </c>
      <c r="T44" s="8">
        <v>1333</v>
      </c>
    </row>
    <row r="45" spans="1:20" x14ac:dyDescent="0.3">
      <c r="A45" s="6" t="s">
        <v>59</v>
      </c>
      <c r="B45" s="7">
        <v>2024</v>
      </c>
      <c r="C45" s="8">
        <v>1179.05</v>
      </c>
      <c r="D45" s="8">
        <v>780.4</v>
      </c>
      <c r="E45" s="8">
        <v>1045.3</v>
      </c>
      <c r="F45" s="8">
        <v>18450</v>
      </c>
      <c r="G45" s="9">
        <v>0.34200000000000003</v>
      </c>
      <c r="H45" s="7" t="s">
        <v>71</v>
      </c>
      <c r="I45" s="9">
        <v>0.192</v>
      </c>
      <c r="J45" s="9">
        <v>0.161</v>
      </c>
      <c r="K45" s="9">
        <v>0.18340000000000001</v>
      </c>
      <c r="L45" s="9">
        <v>0.46360000000000001</v>
      </c>
      <c r="M45" s="8">
        <v>345200</v>
      </c>
      <c r="N45" s="7">
        <v>12.4</v>
      </c>
      <c r="O45" s="8">
        <v>84.15</v>
      </c>
      <c r="P45" s="9">
        <v>0.315</v>
      </c>
      <c r="Q45" s="7">
        <v>1.45</v>
      </c>
      <c r="R45" s="7">
        <v>25.5</v>
      </c>
      <c r="S45" s="8">
        <v>437928</v>
      </c>
      <c r="T45" s="8">
        <v>31399</v>
      </c>
    </row>
    <row r="46" spans="1:20" x14ac:dyDescent="0.3">
      <c r="A46" s="6" t="s">
        <v>60</v>
      </c>
      <c r="B46" s="7">
        <v>2024</v>
      </c>
      <c r="C46" s="8">
        <v>184.6</v>
      </c>
      <c r="D46" s="8">
        <v>128.1</v>
      </c>
      <c r="E46" s="8">
        <v>172.3</v>
      </c>
      <c r="F46" s="8">
        <v>22100</v>
      </c>
      <c r="G46" s="9">
        <v>0.28499999999999998</v>
      </c>
      <c r="H46" s="7" t="s">
        <v>84</v>
      </c>
      <c r="I46" s="9">
        <v>0.19600000000000001</v>
      </c>
      <c r="J46" s="9">
        <v>0.23399999999999999</v>
      </c>
      <c r="K46" s="9">
        <v>0.23809999999999998</v>
      </c>
      <c r="L46" s="9">
        <v>0.33189999999999997</v>
      </c>
      <c r="M46" s="8">
        <v>215400</v>
      </c>
      <c r="N46" s="7" t="s">
        <v>95</v>
      </c>
      <c r="O46" s="8">
        <v>-3.53</v>
      </c>
      <c r="P46" s="9">
        <v>-4.2000000000000003E-2</v>
      </c>
      <c r="Q46" s="7">
        <v>1.32</v>
      </c>
      <c r="R46" s="7">
        <v>15.2</v>
      </c>
      <c r="S46" s="8">
        <v>229171</v>
      </c>
      <c r="T46" s="8">
        <v>-4409</v>
      </c>
    </row>
    <row r="47" spans="1:20" x14ac:dyDescent="0.3">
      <c r="A47" s="6" t="s">
        <v>61</v>
      </c>
      <c r="B47" s="7">
        <v>2024</v>
      </c>
      <c r="C47" s="8">
        <v>1789.6</v>
      </c>
      <c r="D47" s="8">
        <v>1209.4000000000001</v>
      </c>
      <c r="E47" s="8">
        <v>1706.2</v>
      </c>
      <c r="F47" s="8">
        <v>18450</v>
      </c>
      <c r="G47" s="9">
        <v>0.315</v>
      </c>
      <c r="H47" s="7" t="s">
        <v>79</v>
      </c>
      <c r="I47" s="9">
        <v>0.24199999999999999</v>
      </c>
      <c r="J47" s="9">
        <v>0.30740000000000001</v>
      </c>
      <c r="K47" s="9">
        <v>0.10050000000000001</v>
      </c>
      <c r="L47" s="9">
        <v>0.35009999999999997</v>
      </c>
      <c r="M47" s="8">
        <v>136296</v>
      </c>
      <c r="N47" s="7">
        <v>39.1</v>
      </c>
      <c r="O47" s="8">
        <v>26.71</v>
      </c>
      <c r="P47" s="9">
        <v>8.8900000000000007E-2</v>
      </c>
      <c r="Q47" s="7">
        <v>0.95</v>
      </c>
      <c r="R47" s="7">
        <v>28.75</v>
      </c>
      <c r="S47" s="8">
        <v>53290</v>
      </c>
      <c r="T47" s="8">
        <v>2064</v>
      </c>
    </row>
    <row r="48" spans="1:20" x14ac:dyDescent="0.3">
      <c r="A48" s="6" t="s">
        <v>62</v>
      </c>
      <c r="B48" s="7">
        <v>2024</v>
      </c>
      <c r="C48" s="8">
        <v>3886.95</v>
      </c>
      <c r="D48" s="8">
        <v>3055.2</v>
      </c>
      <c r="E48" s="8">
        <v>3612.4</v>
      </c>
      <c r="F48" s="8">
        <v>9200</v>
      </c>
      <c r="G48" s="9">
        <v>0.155</v>
      </c>
      <c r="H48" s="7" t="s">
        <v>92</v>
      </c>
      <c r="I48" s="9">
        <v>0.1855</v>
      </c>
      <c r="J48" s="9">
        <v>0.1045</v>
      </c>
      <c r="K48" s="9">
        <v>0.18100000000000002</v>
      </c>
      <c r="L48" s="9">
        <v>0.52900000000000003</v>
      </c>
      <c r="M48" s="8">
        <v>321450</v>
      </c>
      <c r="N48" s="7">
        <v>91.2</v>
      </c>
      <c r="O48" s="8">
        <v>39.380000000000003</v>
      </c>
      <c r="P48" s="9">
        <v>0.29799999999999999</v>
      </c>
      <c r="Q48" s="7">
        <v>0.82</v>
      </c>
      <c r="R48" s="7">
        <v>82.5</v>
      </c>
      <c r="S48" s="8">
        <v>51084</v>
      </c>
      <c r="T48" s="8">
        <v>3496</v>
      </c>
    </row>
    <row r="49" spans="1:20" x14ac:dyDescent="0.3">
      <c r="A49" s="6" t="s">
        <v>63</v>
      </c>
      <c r="B49" s="7">
        <v>2024</v>
      </c>
      <c r="C49" s="8">
        <v>8345</v>
      </c>
      <c r="D49" s="8">
        <v>2950.4</v>
      </c>
      <c r="E49" s="8">
        <v>7850.2</v>
      </c>
      <c r="F49" s="8">
        <v>15600</v>
      </c>
      <c r="G49" s="9">
        <v>1.6</v>
      </c>
      <c r="H49" s="7" t="s">
        <v>93</v>
      </c>
      <c r="I49" s="9">
        <v>0.27800000000000002</v>
      </c>
      <c r="J49" s="9">
        <v>0.14199999999999999</v>
      </c>
      <c r="K49" s="9">
        <v>0.20989999999999998</v>
      </c>
      <c r="L49" s="9">
        <v>0.37009999999999998</v>
      </c>
      <c r="M49" s="8">
        <v>278450</v>
      </c>
      <c r="N49" s="7">
        <v>188.5</v>
      </c>
      <c r="O49" s="8">
        <v>41.55</v>
      </c>
      <c r="P49" s="9">
        <v>0.26400000000000001</v>
      </c>
      <c r="Q49" s="7">
        <v>0.88</v>
      </c>
      <c r="R49" s="7">
        <v>95.2</v>
      </c>
      <c r="S49" s="8">
        <v>12375</v>
      </c>
      <c r="T49" s="8">
        <v>1477</v>
      </c>
    </row>
    <row r="50" spans="1:20" x14ac:dyDescent="0.3">
      <c r="A50" s="6" t="s">
        <v>64</v>
      </c>
      <c r="B50" s="7">
        <v>2024</v>
      </c>
      <c r="C50" s="8">
        <v>12140</v>
      </c>
      <c r="D50" s="8">
        <v>9250.6</v>
      </c>
      <c r="E50" s="8">
        <v>11820.45</v>
      </c>
      <c r="F50" s="8">
        <v>6400</v>
      </c>
      <c r="G50" s="9">
        <v>0.22800000000000001</v>
      </c>
      <c r="H50" s="7" t="s">
        <v>78</v>
      </c>
      <c r="I50" s="9">
        <v>0.17199999999999999</v>
      </c>
      <c r="J50" s="9">
        <v>0.14399999999999999</v>
      </c>
      <c r="K50" s="9">
        <v>8.4499999999999992E-2</v>
      </c>
      <c r="L50" s="9">
        <v>0.59950000000000003</v>
      </c>
      <c r="M50" s="8">
        <v>342150</v>
      </c>
      <c r="N50" s="7">
        <v>48.7</v>
      </c>
      <c r="O50" s="8">
        <v>242.65</v>
      </c>
      <c r="P50" s="9">
        <v>0.128</v>
      </c>
      <c r="Q50" s="7">
        <v>0.84</v>
      </c>
      <c r="R50" s="7">
        <v>35.200000000000003</v>
      </c>
      <c r="S50" s="8">
        <v>70908</v>
      </c>
      <c r="T50" s="8">
        <v>7005</v>
      </c>
    </row>
    <row r="51" spans="1:20" x14ac:dyDescent="0.3">
      <c r="A51" s="6" t="s">
        <v>65</v>
      </c>
      <c r="B51" s="7">
        <v>2024</v>
      </c>
      <c r="C51" s="8">
        <v>580</v>
      </c>
      <c r="D51" s="8">
        <v>430.2</v>
      </c>
      <c r="E51" s="8">
        <v>562.1</v>
      </c>
      <c r="F51" s="8">
        <v>12500</v>
      </c>
      <c r="G51" s="9">
        <v>0.185</v>
      </c>
      <c r="H51" s="7" t="s">
        <v>79</v>
      </c>
      <c r="I51" s="9">
        <v>6.5000000000000002E-2</v>
      </c>
      <c r="J51" s="9">
        <v>0.10199999999999999</v>
      </c>
      <c r="K51" s="9">
        <v>0.1042</v>
      </c>
      <c r="L51" s="9">
        <v>0.7288</v>
      </c>
      <c r="M51" s="8">
        <v>294150</v>
      </c>
      <c r="N51" s="7">
        <v>26.4</v>
      </c>
      <c r="O51" s="8">
        <v>21.25</v>
      </c>
      <c r="P51" s="9">
        <v>0.158</v>
      </c>
      <c r="Q51" s="7">
        <v>0.85</v>
      </c>
      <c r="R51" s="7">
        <v>31.2</v>
      </c>
      <c r="S51" s="8">
        <v>89760</v>
      </c>
      <c r="T51" s="8">
        <v>11100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D803-D623-4F10-B9D0-CF23B0031235}">
  <sheetPr codeName="Sheet2"/>
  <dimension ref="A1:T51"/>
  <sheetViews>
    <sheetView workbookViewId="0">
      <pane ySplit="1" topLeftCell="A26" activePane="bottomLeft" state="frozen"/>
      <selection pane="bottomLeft" activeCell="H2" sqref="H2:H51"/>
    </sheetView>
  </sheetViews>
  <sheetFormatPr defaultRowHeight="14.4" x14ac:dyDescent="0.3"/>
  <cols>
    <col min="1" max="1" width="36.21875" customWidth="1"/>
    <col min="2" max="2" width="5.6640625" bestFit="1" customWidth="1"/>
    <col min="3" max="5" width="10.44140625" style="10" bestFit="1" customWidth="1"/>
    <col min="6" max="6" width="13.77734375" style="10" bestFit="1" customWidth="1"/>
    <col min="7" max="7" width="11.44140625" bestFit="1" customWidth="1"/>
    <col min="8" max="8" width="22.77734375" bestFit="1" customWidth="1"/>
    <col min="9" max="10" width="7.109375" bestFit="1" customWidth="1"/>
    <col min="11" max="11" width="7.77734375" bestFit="1" customWidth="1"/>
    <col min="12" max="12" width="12.33203125" bestFit="1" customWidth="1"/>
    <col min="13" max="13" width="24.5546875" style="10" bestFit="1" customWidth="1"/>
    <col min="14" max="14" width="16.21875" bestFit="1" customWidth="1"/>
    <col min="15" max="15" width="23.109375" bestFit="1" customWidth="1"/>
    <col min="16" max="16" width="8.21875" bestFit="1" customWidth="1"/>
    <col min="17" max="17" width="8" bestFit="1" customWidth="1"/>
    <col min="18" max="18" width="15.5546875" bestFit="1" customWidth="1"/>
    <col min="19" max="19" width="26.77734375" style="10" bestFit="1" customWidth="1"/>
    <col min="20" max="20" width="29" style="10" bestFit="1" customWidth="1"/>
  </cols>
  <sheetData>
    <row r="1" spans="1:20" ht="15.6" x14ac:dyDescent="0.3">
      <c r="A1" s="12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96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100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5" t="s">
        <v>101</v>
      </c>
      <c r="T1" s="5" t="s">
        <v>102</v>
      </c>
    </row>
    <row r="2" spans="1:20" x14ac:dyDescent="0.3">
      <c r="A2" s="11" t="s">
        <v>16</v>
      </c>
      <c r="B2" s="7">
        <v>2025</v>
      </c>
      <c r="C2" s="8">
        <v>3743</v>
      </c>
      <c r="D2" s="8">
        <v>2530.6</v>
      </c>
      <c r="E2" s="8">
        <v>3120.45</v>
      </c>
      <c r="F2" s="8">
        <v>48200</v>
      </c>
      <c r="G2" s="9">
        <v>0.224</v>
      </c>
      <c r="H2" s="7" t="s">
        <v>66</v>
      </c>
      <c r="I2" s="9">
        <v>0.14410000000000001</v>
      </c>
      <c r="J2" s="9">
        <v>5.9799999999999999E-2</v>
      </c>
      <c r="K2" s="9">
        <v>4.8899999999999999E-2</v>
      </c>
      <c r="L2" s="9">
        <v>0.74719999999999998</v>
      </c>
      <c r="M2" s="8">
        <v>3557.3</v>
      </c>
      <c r="N2" s="7">
        <v>109.68</v>
      </c>
      <c r="O2" s="8">
        <v>28.45</v>
      </c>
      <c r="P2" s="9">
        <v>9.4500000000000001E-2</v>
      </c>
      <c r="Q2" s="7">
        <v>1.45</v>
      </c>
      <c r="R2" s="7">
        <v>45.2</v>
      </c>
      <c r="S2" s="8">
        <v>96420</v>
      </c>
      <c r="T2" s="8">
        <v>3240</v>
      </c>
    </row>
    <row r="3" spans="1:20" x14ac:dyDescent="0.3">
      <c r="A3" s="11" t="s">
        <v>17</v>
      </c>
      <c r="B3" s="7">
        <v>2025</v>
      </c>
      <c r="C3" s="8">
        <v>1620</v>
      </c>
      <c r="D3" s="8">
        <v>1180</v>
      </c>
      <c r="E3" s="8">
        <v>1510.2</v>
      </c>
      <c r="F3" s="8">
        <v>22500</v>
      </c>
      <c r="G3" s="9">
        <v>0.28299999999999997</v>
      </c>
      <c r="H3" s="7" t="s">
        <v>67</v>
      </c>
      <c r="I3" s="9">
        <v>0.1522</v>
      </c>
      <c r="J3" s="9">
        <v>0.1145</v>
      </c>
      <c r="K3" s="9">
        <v>7.4400000000000008E-2</v>
      </c>
      <c r="L3" s="9">
        <v>0.65890000000000004</v>
      </c>
      <c r="M3" s="8">
        <v>326200</v>
      </c>
      <c r="N3" s="7">
        <v>35.6</v>
      </c>
      <c r="O3" s="8">
        <v>42.42</v>
      </c>
      <c r="P3" s="9">
        <v>0.16800000000000001</v>
      </c>
      <c r="Q3" s="7">
        <v>1.28</v>
      </c>
      <c r="R3" s="7">
        <v>28.4</v>
      </c>
      <c r="S3" s="8">
        <v>28450</v>
      </c>
      <c r="T3" s="8">
        <v>9150</v>
      </c>
    </row>
    <row r="4" spans="1:20" x14ac:dyDescent="0.3">
      <c r="A4" s="11" t="s">
        <v>18</v>
      </c>
      <c r="B4" s="7">
        <v>2025</v>
      </c>
      <c r="C4" s="8">
        <v>7450</v>
      </c>
      <c r="D4" s="8">
        <v>5680</v>
      </c>
      <c r="E4" s="8">
        <v>7120.45</v>
      </c>
      <c r="F4" s="8">
        <v>12800</v>
      </c>
      <c r="G4" s="9">
        <v>0.185</v>
      </c>
      <c r="H4" s="7" t="s">
        <v>68</v>
      </c>
      <c r="I4" s="9">
        <v>0.44800000000000001</v>
      </c>
      <c r="J4" s="9">
        <v>0.17100000000000001</v>
      </c>
      <c r="K4" s="9">
        <v>8.7999999999999995E-2</v>
      </c>
      <c r="L4" s="9">
        <v>0.29299999999999998</v>
      </c>
      <c r="M4" s="8">
        <v>102380</v>
      </c>
      <c r="N4" s="7">
        <v>84.5</v>
      </c>
      <c r="O4" s="8">
        <v>84.26</v>
      </c>
      <c r="P4" s="9">
        <v>0.14799999999999999</v>
      </c>
      <c r="Q4" s="7">
        <v>0.65</v>
      </c>
      <c r="R4" s="7">
        <v>45.2</v>
      </c>
      <c r="S4" s="8">
        <v>21350</v>
      </c>
      <c r="T4" s="8">
        <v>1212</v>
      </c>
    </row>
    <row r="5" spans="1:20" x14ac:dyDescent="0.3">
      <c r="A5" s="11" t="s">
        <v>19</v>
      </c>
      <c r="B5" s="7">
        <v>2025</v>
      </c>
      <c r="C5" s="8">
        <v>3485</v>
      </c>
      <c r="D5" s="8">
        <v>2740.2</v>
      </c>
      <c r="E5" s="8">
        <v>3115.4</v>
      </c>
      <c r="F5" s="8">
        <v>15600</v>
      </c>
      <c r="G5" s="9">
        <v>8.199999999999999E-2</v>
      </c>
      <c r="H5" s="7" t="s">
        <v>69</v>
      </c>
      <c r="I5" s="9">
        <v>0.154</v>
      </c>
      <c r="J5" s="9">
        <v>0.1125</v>
      </c>
      <c r="K5" s="9">
        <v>0.2072</v>
      </c>
      <c r="L5" s="9">
        <v>0.52629999999999999</v>
      </c>
      <c r="M5" s="8">
        <v>298750</v>
      </c>
      <c r="N5" s="7">
        <v>52.4</v>
      </c>
      <c r="O5" s="8">
        <v>59.45</v>
      </c>
      <c r="P5" s="9">
        <v>0.26800000000000002</v>
      </c>
      <c r="Q5" s="7">
        <v>0.78</v>
      </c>
      <c r="R5" s="7">
        <v>48.2</v>
      </c>
      <c r="S5" s="8">
        <v>38950</v>
      </c>
      <c r="T5" s="8">
        <v>5120</v>
      </c>
    </row>
    <row r="6" spans="1:20" x14ac:dyDescent="0.3">
      <c r="A6" s="11" t="s">
        <v>20</v>
      </c>
      <c r="B6" s="7">
        <v>2025</v>
      </c>
      <c r="C6" s="8">
        <v>1385</v>
      </c>
      <c r="D6" s="8">
        <v>1020.5</v>
      </c>
      <c r="E6" s="8">
        <v>1290.75</v>
      </c>
      <c r="F6" s="8">
        <v>28500</v>
      </c>
      <c r="G6" s="9">
        <v>0.154</v>
      </c>
      <c r="H6" s="7" t="s">
        <v>70</v>
      </c>
      <c r="I6" s="9">
        <v>0.53799999999999992</v>
      </c>
      <c r="J6" s="9">
        <v>0.28449999999999998</v>
      </c>
      <c r="K6" s="9">
        <v>9.7500000000000003E-2</v>
      </c>
      <c r="L6" s="9">
        <v>0.08</v>
      </c>
      <c r="M6" s="8">
        <v>398420</v>
      </c>
      <c r="N6" s="7">
        <v>14.2</v>
      </c>
      <c r="O6" s="8">
        <v>90.89</v>
      </c>
      <c r="P6" s="9">
        <v>0.1825</v>
      </c>
      <c r="Q6" s="7">
        <v>1.1499999999999999</v>
      </c>
      <c r="R6" s="7">
        <v>18.5</v>
      </c>
      <c r="S6" s="8">
        <v>122450</v>
      </c>
      <c r="T6" s="8">
        <v>28140</v>
      </c>
    </row>
    <row r="7" spans="1:20" x14ac:dyDescent="0.3">
      <c r="A7" s="11" t="s">
        <v>21</v>
      </c>
      <c r="B7" s="7">
        <v>2025</v>
      </c>
      <c r="C7" s="8">
        <v>12480</v>
      </c>
      <c r="D7" s="8">
        <v>8950.5</v>
      </c>
      <c r="E7" s="8">
        <v>11850.4</v>
      </c>
      <c r="F7" s="8">
        <v>18400</v>
      </c>
      <c r="G7" s="9">
        <v>0.22800000000000001</v>
      </c>
      <c r="H7" s="7" t="s">
        <v>71</v>
      </c>
      <c r="I7" s="9">
        <v>0.14199999999999999</v>
      </c>
      <c r="J7" s="9">
        <v>0.10150000000000001</v>
      </c>
      <c r="K7" s="9">
        <v>0.2059</v>
      </c>
      <c r="L7" s="9">
        <v>0.55059999999999998</v>
      </c>
      <c r="M7" s="8">
        <v>332450</v>
      </c>
      <c r="N7" s="7">
        <v>38.4</v>
      </c>
      <c r="O7" s="8">
        <v>308.60000000000002</v>
      </c>
      <c r="P7" s="9">
        <v>0.245</v>
      </c>
      <c r="Q7" s="7">
        <v>0.82</v>
      </c>
      <c r="R7" s="7">
        <v>32.5</v>
      </c>
      <c r="S7" s="8">
        <v>52140</v>
      </c>
      <c r="T7" s="8">
        <v>8650</v>
      </c>
    </row>
    <row r="8" spans="1:20" x14ac:dyDescent="0.3">
      <c r="A8" s="11" t="s">
        <v>22</v>
      </c>
      <c r="B8" s="7">
        <v>2025</v>
      </c>
      <c r="C8" s="8">
        <v>8150</v>
      </c>
      <c r="D8" s="8">
        <v>6240.2</v>
      </c>
      <c r="E8" s="8">
        <v>7680.5</v>
      </c>
      <c r="F8" s="8">
        <v>32400</v>
      </c>
      <c r="G8" s="9">
        <v>0.126</v>
      </c>
      <c r="H8" s="7" t="s">
        <v>72</v>
      </c>
      <c r="I8" s="9">
        <v>0.1825</v>
      </c>
      <c r="J8" s="9">
        <v>0.14099999999999999</v>
      </c>
      <c r="K8" s="9">
        <v>0.12970000000000001</v>
      </c>
      <c r="L8" s="9">
        <v>0.54679999999999995</v>
      </c>
      <c r="M8" s="8">
        <v>465230</v>
      </c>
      <c r="N8" s="7">
        <v>32.4</v>
      </c>
      <c r="O8" s="8">
        <v>237.05</v>
      </c>
      <c r="P8" s="9">
        <v>0.23100000000000001</v>
      </c>
      <c r="Q8" s="7">
        <v>1.22</v>
      </c>
      <c r="R8" s="7">
        <v>26.5</v>
      </c>
      <c r="S8" s="8">
        <v>58420</v>
      </c>
      <c r="T8" s="8">
        <v>14350</v>
      </c>
    </row>
    <row r="9" spans="1:20" x14ac:dyDescent="0.3">
      <c r="A9" s="11" t="s">
        <v>23</v>
      </c>
      <c r="B9" s="7">
        <v>2025</v>
      </c>
      <c r="C9" s="8">
        <v>2045</v>
      </c>
      <c r="D9" s="8">
        <v>1510.5</v>
      </c>
      <c r="E9" s="8">
        <v>1890.75</v>
      </c>
      <c r="F9" s="8">
        <v>18250</v>
      </c>
      <c r="G9" s="9">
        <v>0.114</v>
      </c>
      <c r="H9" s="7" t="s">
        <v>72</v>
      </c>
      <c r="I9" s="9">
        <v>0.26850000000000002</v>
      </c>
      <c r="J9" s="9">
        <v>7.4999999999999997E-2</v>
      </c>
      <c r="K9" s="9">
        <v>0.1487</v>
      </c>
      <c r="L9" s="9">
        <v>0.60780000000000001</v>
      </c>
      <c r="M9" s="8">
        <v>301240</v>
      </c>
      <c r="N9" s="7">
        <v>36.200000000000003</v>
      </c>
      <c r="O9" s="8">
        <v>52.2</v>
      </c>
      <c r="P9" s="9">
        <v>0.14799999999999999</v>
      </c>
      <c r="Q9" s="7">
        <v>1.1200000000000001</v>
      </c>
      <c r="R9" s="7">
        <v>27.8</v>
      </c>
      <c r="S9" s="8">
        <v>118650</v>
      </c>
      <c r="T9" s="8">
        <v>9280</v>
      </c>
    </row>
    <row r="10" spans="1:20" x14ac:dyDescent="0.3">
      <c r="A10" s="11" t="s">
        <v>24</v>
      </c>
      <c r="B10" s="7">
        <v>2025</v>
      </c>
      <c r="C10" s="8">
        <v>395.4</v>
      </c>
      <c r="D10" s="8">
        <v>275.14999999999998</v>
      </c>
      <c r="E10" s="8">
        <v>382.6</v>
      </c>
      <c r="F10" s="8">
        <v>15800</v>
      </c>
      <c r="G10" s="9">
        <v>0.29599999999999999</v>
      </c>
      <c r="H10" s="7" t="s">
        <v>73</v>
      </c>
      <c r="I10" s="9">
        <v>0.17849999999999999</v>
      </c>
      <c r="J10" s="9">
        <v>0.24399999999999999</v>
      </c>
      <c r="K10" s="9">
        <v>6.6000000000000003E-2</v>
      </c>
      <c r="L10" s="9">
        <v>0.51149999999999995</v>
      </c>
      <c r="M10" s="8">
        <v>279650</v>
      </c>
      <c r="N10" s="7">
        <v>45.2</v>
      </c>
      <c r="O10" s="8">
        <v>8.4499999999999993</v>
      </c>
      <c r="P10" s="9">
        <v>0.26400000000000001</v>
      </c>
      <c r="Q10" s="7">
        <v>1.22</v>
      </c>
      <c r="R10" s="7">
        <v>38.4</v>
      </c>
      <c r="S10" s="8">
        <v>22140</v>
      </c>
      <c r="T10" s="8">
        <v>4280</v>
      </c>
    </row>
    <row r="11" spans="1:20" x14ac:dyDescent="0.3">
      <c r="A11" s="11" t="s">
        <v>25</v>
      </c>
      <c r="B11" s="7">
        <v>2025</v>
      </c>
      <c r="C11" s="8">
        <v>1840.5</v>
      </c>
      <c r="D11" s="8">
        <v>1450.2</v>
      </c>
      <c r="E11" s="8">
        <v>1765.8</v>
      </c>
      <c r="F11" s="8">
        <v>38450</v>
      </c>
      <c r="G11" s="9">
        <v>0.312</v>
      </c>
      <c r="H11" s="7" t="s">
        <v>74</v>
      </c>
      <c r="I11" s="9">
        <v>0.251</v>
      </c>
      <c r="J11" s="9">
        <v>0.20399999999999999</v>
      </c>
      <c r="K11" s="9">
        <v>3.0499999999999999E-2</v>
      </c>
      <c r="L11" s="9">
        <v>0.51450000000000007</v>
      </c>
      <c r="M11" s="8">
        <v>985600</v>
      </c>
      <c r="N11" s="7">
        <v>72.099999999999994</v>
      </c>
      <c r="O11" s="8">
        <v>24.5</v>
      </c>
      <c r="P11" s="9">
        <v>0.16800000000000001</v>
      </c>
      <c r="Q11" s="7">
        <v>0.82</v>
      </c>
      <c r="R11" s="7">
        <v>44.5</v>
      </c>
      <c r="S11" s="8">
        <v>164250</v>
      </c>
      <c r="T11" s="8">
        <v>12480</v>
      </c>
    </row>
    <row r="12" spans="1:20" x14ac:dyDescent="0.3">
      <c r="A12" s="11" t="s">
        <v>26</v>
      </c>
      <c r="B12" s="7">
        <v>2025</v>
      </c>
      <c r="C12" s="8">
        <v>1785.4</v>
      </c>
      <c r="D12" s="8">
        <v>1420.15</v>
      </c>
      <c r="E12" s="8">
        <v>1692.6</v>
      </c>
      <c r="F12" s="8">
        <v>15400</v>
      </c>
      <c r="G12" s="9">
        <v>0.184</v>
      </c>
      <c r="H12" s="7" t="s">
        <v>75</v>
      </c>
      <c r="I12" s="9">
        <v>0.26150000000000001</v>
      </c>
      <c r="J12" s="9">
        <v>0.245</v>
      </c>
      <c r="K12" s="9">
        <v>0.1575</v>
      </c>
      <c r="L12" s="9">
        <v>0.33600000000000002</v>
      </c>
      <c r="M12" s="8">
        <v>136750</v>
      </c>
      <c r="N12" s="7">
        <v>30.15</v>
      </c>
      <c r="O12" s="8">
        <v>56.12</v>
      </c>
      <c r="P12" s="9">
        <v>0.17199999999999999</v>
      </c>
      <c r="Q12" s="7">
        <v>0.57999999999999996</v>
      </c>
      <c r="R12" s="7">
        <v>31.4</v>
      </c>
      <c r="S12" s="8">
        <v>28140</v>
      </c>
      <c r="T12" s="8">
        <v>4520</v>
      </c>
    </row>
    <row r="13" spans="1:20" x14ac:dyDescent="0.3">
      <c r="A13" s="11" t="s">
        <v>27</v>
      </c>
      <c r="B13" s="7">
        <v>2025</v>
      </c>
      <c r="C13" s="8">
        <v>565.4</v>
      </c>
      <c r="D13" s="8">
        <v>420.15</v>
      </c>
      <c r="E13" s="8">
        <v>532.79999999999995</v>
      </c>
      <c r="F13" s="8">
        <v>14200</v>
      </c>
      <c r="G13" s="9">
        <v>0.38400000000000001</v>
      </c>
      <c r="H13" s="7" t="s">
        <v>76</v>
      </c>
      <c r="I13" s="9">
        <v>8.2500000000000004E-2</v>
      </c>
      <c r="J13" s="9">
        <v>0.22399999999999998</v>
      </c>
      <c r="K13" s="9">
        <v>6.25E-2</v>
      </c>
      <c r="L13" s="9">
        <v>0.63100000000000001</v>
      </c>
      <c r="M13" s="8">
        <v>328400</v>
      </c>
      <c r="N13" s="7">
        <v>9.8000000000000007</v>
      </c>
      <c r="O13" s="8">
        <v>54.3</v>
      </c>
      <c r="P13" s="9">
        <v>0.45200000000000001</v>
      </c>
      <c r="Q13" s="7">
        <v>0.92</v>
      </c>
      <c r="R13" s="7">
        <v>12.5</v>
      </c>
      <c r="S13" s="8">
        <v>148650</v>
      </c>
      <c r="T13" s="8">
        <v>34250</v>
      </c>
    </row>
    <row r="14" spans="1:20" x14ac:dyDescent="0.3">
      <c r="A14" s="11" t="s">
        <v>28</v>
      </c>
      <c r="B14" s="7">
        <v>2025</v>
      </c>
      <c r="C14" s="8">
        <v>7340</v>
      </c>
      <c r="D14" s="8">
        <v>5820</v>
      </c>
      <c r="E14" s="8">
        <v>6845.2</v>
      </c>
      <c r="F14" s="8">
        <v>11200</v>
      </c>
      <c r="G14" s="9">
        <v>0.156</v>
      </c>
      <c r="H14" s="7" t="s">
        <v>75</v>
      </c>
      <c r="I14" s="9">
        <v>0.28399999999999997</v>
      </c>
      <c r="J14" s="9">
        <v>0.215</v>
      </c>
      <c r="K14" s="9">
        <v>0.23399999999999999</v>
      </c>
      <c r="L14" s="9">
        <v>0.26700000000000002</v>
      </c>
      <c r="M14" s="8">
        <v>114350</v>
      </c>
      <c r="N14" s="7">
        <v>18.5</v>
      </c>
      <c r="O14" s="8">
        <v>369.4</v>
      </c>
      <c r="P14" s="9">
        <v>0.184</v>
      </c>
      <c r="Q14" s="7">
        <v>0.6</v>
      </c>
      <c r="R14" s="7">
        <v>31.4</v>
      </c>
      <c r="S14" s="8">
        <v>30240</v>
      </c>
      <c r="T14" s="8">
        <v>6120</v>
      </c>
    </row>
    <row r="15" spans="1:20" x14ac:dyDescent="0.3">
      <c r="A15" s="11" t="s">
        <v>29</v>
      </c>
      <c r="B15" s="7">
        <v>2025</v>
      </c>
      <c r="C15" s="8">
        <v>5340</v>
      </c>
      <c r="D15" s="8">
        <v>3850.5</v>
      </c>
      <c r="E15" s="8">
        <v>4910.75</v>
      </c>
      <c r="F15" s="8">
        <v>9800</v>
      </c>
      <c r="G15" s="9">
        <v>0.248</v>
      </c>
      <c r="H15" s="7" t="s">
        <v>71</v>
      </c>
      <c r="I15" s="9">
        <v>0.29499999999999998</v>
      </c>
      <c r="J15" s="9">
        <v>0.10199999999999999</v>
      </c>
      <c r="K15" s="9">
        <v>0.111</v>
      </c>
      <c r="L15" s="9">
        <v>0.49200000000000005</v>
      </c>
      <c r="M15" s="8">
        <v>134250</v>
      </c>
      <c r="N15" s="7">
        <v>31.4</v>
      </c>
      <c r="O15" s="8">
        <v>162.4</v>
      </c>
      <c r="P15" s="9">
        <v>0.22500000000000001</v>
      </c>
      <c r="Q15" s="7">
        <v>0.9</v>
      </c>
      <c r="R15" s="7">
        <v>32.5</v>
      </c>
      <c r="S15" s="8">
        <v>17450</v>
      </c>
      <c r="T15" s="8">
        <v>4120</v>
      </c>
    </row>
    <row r="16" spans="1:20" x14ac:dyDescent="0.3">
      <c r="A16" s="11" t="s">
        <v>30</v>
      </c>
      <c r="B16" s="7">
        <v>2025</v>
      </c>
      <c r="C16" s="8">
        <v>368.45</v>
      </c>
      <c r="D16" s="8">
        <v>189.6</v>
      </c>
      <c r="E16" s="8">
        <v>342.18</v>
      </c>
      <c r="F16" s="8">
        <v>41200</v>
      </c>
      <c r="G16" s="9">
        <v>0.67099999999999993</v>
      </c>
      <c r="H16" s="7" t="s">
        <v>77</v>
      </c>
      <c r="I16" s="9">
        <v>0.54100000000000004</v>
      </c>
      <c r="J16" s="9">
        <v>0.182</v>
      </c>
      <c r="K16" s="9">
        <v>0.27699999999999997</v>
      </c>
      <c r="L16" s="9">
        <v>0</v>
      </c>
      <c r="M16" s="8">
        <v>302450</v>
      </c>
      <c r="N16" s="7">
        <v>122.4</v>
      </c>
      <c r="O16" s="8">
        <v>2.8</v>
      </c>
      <c r="P16" s="9">
        <v>6.5000000000000002E-2</v>
      </c>
      <c r="Q16" s="7">
        <v>1.65</v>
      </c>
      <c r="R16" s="7">
        <v>95</v>
      </c>
      <c r="S16" s="8">
        <v>18650</v>
      </c>
      <c r="T16" s="8">
        <v>1120</v>
      </c>
    </row>
    <row r="17" spans="1:20" x14ac:dyDescent="0.3">
      <c r="A17" s="11" t="s">
        <v>31</v>
      </c>
      <c r="B17" s="7">
        <v>2025</v>
      </c>
      <c r="C17" s="8">
        <v>3120.5</v>
      </c>
      <c r="D17" s="8">
        <v>2045</v>
      </c>
      <c r="E17" s="8">
        <v>2985.4</v>
      </c>
      <c r="F17" s="8">
        <v>12650</v>
      </c>
      <c r="G17" s="9">
        <v>0.35200000000000004</v>
      </c>
      <c r="H17" s="7" t="s">
        <v>78</v>
      </c>
      <c r="I17" s="9">
        <v>0.124</v>
      </c>
      <c r="J17" s="9">
        <v>0.25800000000000001</v>
      </c>
      <c r="K17" s="9">
        <v>0.18899999999999997</v>
      </c>
      <c r="L17" s="9">
        <v>0.42899999999999999</v>
      </c>
      <c r="M17" s="8">
        <v>205450</v>
      </c>
      <c r="N17" s="7">
        <v>34.15</v>
      </c>
      <c r="O17" s="8">
        <v>87.4</v>
      </c>
      <c r="P17" s="9">
        <v>0.11199999999999999</v>
      </c>
      <c r="Q17" s="7">
        <v>1.1499999999999999</v>
      </c>
      <c r="R17" s="7">
        <v>28.5</v>
      </c>
      <c r="S17" s="8">
        <v>138200</v>
      </c>
      <c r="T17" s="8">
        <v>6850</v>
      </c>
    </row>
    <row r="18" spans="1:20" x14ac:dyDescent="0.3">
      <c r="A18" s="11" t="s">
        <v>32</v>
      </c>
      <c r="B18" s="7">
        <v>2025</v>
      </c>
      <c r="C18" s="8">
        <v>2145</v>
      </c>
      <c r="D18" s="8">
        <v>1420.5</v>
      </c>
      <c r="E18" s="8">
        <v>1985.4</v>
      </c>
      <c r="F18" s="8">
        <v>16400</v>
      </c>
      <c r="G18" s="9">
        <v>0.34200000000000003</v>
      </c>
      <c r="H18" s="7" t="s">
        <v>79</v>
      </c>
      <c r="I18" s="9">
        <v>0.19399999999999998</v>
      </c>
      <c r="J18" s="9">
        <v>0.158</v>
      </c>
      <c r="K18" s="9">
        <v>4.0999999999999995E-2</v>
      </c>
      <c r="L18" s="9">
        <v>0.60699999999999998</v>
      </c>
      <c r="M18" s="8">
        <v>538450</v>
      </c>
      <c r="N18" s="7">
        <v>28.4</v>
      </c>
      <c r="O18" s="8">
        <v>69.8</v>
      </c>
      <c r="P18" s="9">
        <v>0.23499999999999999</v>
      </c>
      <c r="Q18" s="7">
        <v>0.85</v>
      </c>
      <c r="R18" s="7">
        <v>30.5</v>
      </c>
      <c r="S18" s="8">
        <v>118250</v>
      </c>
      <c r="T18" s="8">
        <v>18950</v>
      </c>
    </row>
    <row r="19" spans="1:20" x14ac:dyDescent="0.3">
      <c r="A19" s="11" t="s">
        <v>33</v>
      </c>
      <c r="B19" s="7">
        <v>2025</v>
      </c>
      <c r="C19" s="8">
        <v>1980.5</v>
      </c>
      <c r="D19" s="8">
        <v>1460</v>
      </c>
      <c r="E19" s="8">
        <v>1845.6</v>
      </c>
      <c r="F19" s="8">
        <v>58400</v>
      </c>
      <c r="G19" s="9">
        <v>0.182</v>
      </c>
      <c r="H19" s="7" t="s">
        <v>70</v>
      </c>
      <c r="I19" s="9">
        <v>0.47399999999999998</v>
      </c>
      <c r="J19" s="9">
        <v>0.308</v>
      </c>
      <c r="K19" s="9">
        <v>0.218</v>
      </c>
      <c r="L19" s="9">
        <v>0</v>
      </c>
      <c r="M19" s="8">
        <v>1385450</v>
      </c>
      <c r="N19" s="7">
        <v>19.2</v>
      </c>
      <c r="O19" s="8">
        <v>96.12</v>
      </c>
      <c r="P19" s="9">
        <v>0.16500000000000001</v>
      </c>
      <c r="Q19" s="7">
        <v>1.1000000000000001</v>
      </c>
      <c r="R19" s="7">
        <v>18.5</v>
      </c>
      <c r="S19" s="8">
        <v>286400</v>
      </c>
      <c r="T19" s="8">
        <v>64250</v>
      </c>
    </row>
    <row r="20" spans="1:20" x14ac:dyDescent="0.3">
      <c r="A20" s="11" t="s">
        <v>34</v>
      </c>
      <c r="B20" s="7">
        <v>2025</v>
      </c>
      <c r="C20" s="8">
        <v>845.2</v>
      </c>
      <c r="D20" s="8">
        <v>610</v>
      </c>
      <c r="E20" s="8">
        <v>792.4</v>
      </c>
      <c r="F20" s="8">
        <v>12800</v>
      </c>
      <c r="G20" s="9">
        <v>0.22500000000000001</v>
      </c>
      <c r="H20" s="7" t="s">
        <v>80</v>
      </c>
      <c r="I20" s="9">
        <v>0.28100000000000003</v>
      </c>
      <c r="J20" s="9">
        <v>7.400000000000001E-2</v>
      </c>
      <c r="K20" s="9">
        <v>0.14099999999999999</v>
      </c>
      <c r="L20" s="9">
        <v>0.504</v>
      </c>
      <c r="M20" s="8">
        <v>172600</v>
      </c>
      <c r="N20" s="7">
        <v>82.15</v>
      </c>
      <c r="O20" s="8">
        <v>9.65</v>
      </c>
      <c r="P20" s="9">
        <v>0.14199999999999999</v>
      </c>
      <c r="Q20" s="7">
        <v>0.95</v>
      </c>
      <c r="R20" s="7">
        <v>78.2</v>
      </c>
      <c r="S20" s="8">
        <v>92450</v>
      </c>
      <c r="T20" s="8">
        <v>2050</v>
      </c>
    </row>
    <row r="21" spans="1:20" x14ac:dyDescent="0.3">
      <c r="A21" s="11" t="s">
        <v>35</v>
      </c>
      <c r="B21" s="7">
        <v>2025</v>
      </c>
      <c r="C21" s="8">
        <v>785.4</v>
      </c>
      <c r="D21" s="8">
        <v>580.1</v>
      </c>
      <c r="E21" s="8">
        <v>742.6</v>
      </c>
      <c r="F21" s="8">
        <v>18600</v>
      </c>
      <c r="G21" s="9">
        <v>0.28399999999999997</v>
      </c>
      <c r="H21" s="7" t="s">
        <v>81</v>
      </c>
      <c r="I21" s="9">
        <v>0.26400000000000001</v>
      </c>
      <c r="J21" s="9">
        <v>0.252</v>
      </c>
      <c r="K21" s="9">
        <v>0.13600000000000001</v>
      </c>
      <c r="L21" s="9">
        <v>0.34799999999999998</v>
      </c>
      <c r="M21" s="8">
        <v>168450</v>
      </c>
      <c r="N21" s="7">
        <v>15.2</v>
      </c>
      <c r="O21" s="8">
        <v>48.85</v>
      </c>
      <c r="P21" s="9">
        <v>0.128</v>
      </c>
      <c r="Q21" s="7">
        <v>1.32</v>
      </c>
      <c r="R21" s="7">
        <v>16.5</v>
      </c>
      <c r="S21" s="8">
        <v>228400</v>
      </c>
      <c r="T21" s="8">
        <v>11150</v>
      </c>
    </row>
    <row r="22" spans="1:20" x14ac:dyDescent="0.3">
      <c r="A22" s="11" t="s">
        <v>36</v>
      </c>
      <c r="B22" s="7">
        <v>2025</v>
      </c>
      <c r="C22" s="8">
        <v>3145</v>
      </c>
      <c r="D22" s="8">
        <v>2310.5</v>
      </c>
      <c r="E22" s="8">
        <v>2910.4</v>
      </c>
      <c r="F22" s="8">
        <v>14250</v>
      </c>
      <c r="G22" s="9">
        <v>0.14800000000000002</v>
      </c>
      <c r="H22" s="7" t="s">
        <v>82</v>
      </c>
      <c r="I22" s="9">
        <v>0.126</v>
      </c>
      <c r="J22" s="9">
        <v>0.13200000000000001</v>
      </c>
      <c r="K22" s="9">
        <v>0.12300000000000001</v>
      </c>
      <c r="L22" s="9">
        <v>0.61899999999999999</v>
      </c>
      <c r="M22" s="8">
        <v>683450</v>
      </c>
      <c r="N22" s="7">
        <v>58.4</v>
      </c>
      <c r="O22" s="8">
        <v>49.8</v>
      </c>
      <c r="P22" s="9">
        <v>0.19800000000000001</v>
      </c>
      <c r="Q22" s="7">
        <v>0.52</v>
      </c>
      <c r="R22" s="7">
        <v>45.2</v>
      </c>
      <c r="S22" s="8">
        <v>64800</v>
      </c>
      <c r="T22" s="8">
        <v>11240</v>
      </c>
    </row>
    <row r="23" spans="1:20" x14ac:dyDescent="0.3">
      <c r="A23" s="11" t="s">
        <v>37</v>
      </c>
      <c r="B23" s="7">
        <v>2025</v>
      </c>
      <c r="C23" s="8">
        <v>1485.6</v>
      </c>
      <c r="D23" s="8">
        <v>1020.15</v>
      </c>
      <c r="E23" s="8">
        <v>1412.4</v>
      </c>
      <c r="F23" s="8">
        <v>42600</v>
      </c>
      <c r="G23" s="9">
        <v>0.32400000000000001</v>
      </c>
      <c r="H23" s="7" t="s">
        <v>70</v>
      </c>
      <c r="I23" s="9">
        <v>0.442</v>
      </c>
      <c r="J23" s="9">
        <v>0.45600000000000002</v>
      </c>
      <c r="K23" s="9">
        <v>0.10199999999999999</v>
      </c>
      <c r="L23" s="9">
        <v>0</v>
      </c>
      <c r="M23" s="8">
        <v>992450</v>
      </c>
      <c r="N23" s="7">
        <v>18.8</v>
      </c>
      <c r="O23" s="8">
        <v>75.12</v>
      </c>
      <c r="P23" s="9">
        <v>0.182</v>
      </c>
      <c r="Q23" s="7">
        <v>1.18</v>
      </c>
      <c r="R23" s="7">
        <v>18.5</v>
      </c>
      <c r="S23" s="8">
        <v>194200</v>
      </c>
      <c r="T23" s="8">
        <v>48150</v>
      </c>
    </row>
    <row r="24" spans="1:20" x14ac:dyDescent="0.3">
      <c r="A24" s="11" t="s">
        <v>38</v>
      </c>
      <c r="B24" s="7">
        <v>2025</v>
      </c>
      <c r="C24" s="8">
        <v>545.79999999999995</v>
      </c>
      <c r="D24" s="8">
        <v>410.2</v>
      </c>
      <c r="E24" s="8">
        <v>512.4</v>
      </c>
      <c r="F24" s="8">
        <v>22600</v>
      </c>
      <c r="G24" s="9">
        <v>0.16500000000000001</v>
      </c>
      <c r="H24" s="7" t="s">
        <v>82</v>
      </c>
      <c r="I24" s="9">
        <v>0.43200000000000005</v>
      </c>
      <c r="J24" s="9">
        <v>0.42100000000000004</v>
      </c>
      <c r="K24" s="9">
        <v>0.14699999999999999</v>
      </c>
      <c r="L24" s="9">
        <v>0</v>
      </c>
      <c r="M24" s="8">
        <v>638450</v>
      </c>
      <c r="N24" s="7">
        <v>28.4</v>
      </c>
      <c r="O24" s="8">
        <v>18.05</v>
      </c>
      <c r="P24" s="9">
        <v>0.29100000000000004</v>
      </c>
      <c r="Q24" s="7">
        <v>0.65</v>
      </c>
      <c r="R24" s="7">
        <v>45.2</v>
      </c>
      <c r="S24" s="8">
        <v>74150</v>
      </c>
      <c r="T24" s="8">
        <v>22480</v>
      </c>
    </row>
    <row r="25" spans="1:20" x14ac:dyDescent="0.3">
      <c r="A25" s="11" t="s">
        <v>39</v>
      </c>
      <c r="B25" s="7">
        <v>2025</v>
      </c>
      <c r="C25" s="8">
        <v>2210.5</v>
      </c>
      <c r="D25" s="8">
        <v>1480</v>
      </c>
      <c r="E25" s="8">
        <v>2045.75</v>
      </c>
      <c r="F25" s="8">
        <v>32600</v>
      </c>
      <c r="G25" s="9">
        <v>0.38100000000000001</v>
      </c>
      <c r="H25" s="7" t="s">
        <v>79</v>
      </c>
      <c r="I25" s="9">
        <v>0.33399999999999996</v>
      </c>
      <c r="J25" s="9">
        <v>0.36200000000000004</v>
      </c>
      <c r="K25" s="9">
        <v>0.1515</v>
      </c>
      <c r="L25" s="9">
        <v>0.14899999999999999</v>
      </c>
      <c r="M25" s="8">
        <v>848250</v>
      </c>
      <c r="N25" s="7">
        <v>30.2</v>
      </c>
      <c r="O25" s="8">
        <v>67.8</v>
      </c>
      <c r="P25" s="9">
        <v>0.314</v>
      </c>
      <c r="Q25" s="7">
        <v>0.88</v>
      </c>
      <c r="R25" s="7">
        <v>30.5</v>
      </c>
      <c r="S25" s="8">
        <v>168400</v>
      </c>
      <c r="T25" s="8">
        <v>28150</v>
      </c>
    </row>
    <row r="26" spans="1:20" x14ac:dyDescent="0.3">
      <c r="A26" s="11" t="s">
        <v>40</v>
      </c>
      <c r="B26" s="7">
        <v>2025</v>
      </c>
      <c r="C26" s="8">
        <v>6232.5</v>
      </c>
      <c r="D26" s="8">
        <v>3895.2</v>
      </c>
      <c r="E26" s="8">
        <v>4312.5</v>
      </c>
      <c r="F26" s="8">
        <v>15400</v>
      </c>
      <c r="G26" s="9">
        <v>0.184</v>
      </c>
      <c r="H26" s="7" t="s">
        <v>83</v>
      </c>
      <c r="I26" s="9">
        <v>0.24989999999999998</v>
      </c>
      <c r="J26" s="9">
        <v>0.28129999999999999</v>
      </c>
      <c r="K26" s="9">
        <v>5.3099999999999994E-2</v>
      </c>
      <c r="L26" s="9">
        <v>0.4158</v>
      </c>
      <c r="M26" s="8">
        <v>166350</v>
      </c>
      <c r="N26" s="7">
        <v>26.7</v>
      </c>
      <c r="O26" s="8">
        <v>187.94</v>
      </c>
      <c r="P26" s="9">
        <v>0.41220000000000001</v>
      </c>
      <c r="Q26" s="7">
        <v>1.35</v>
      </c>
      <c r="R26" s="7">
        <v>37.32</v>
      </c>
      <c r="S26" s="8">
        <v>84100</v>
      </c>
      <c r="T26" s="8">
        <v>7253</v>
      </c>
    </row>
    <row r="27" spans="1:20" x14ac:dyDescent="0.3">
      <c r="A27" s="11" t="s">
        <v>41</v>
      </c>
      <c r="B27" s="7">
        <v>2025</v>
      </c>
      <c r="C27" s="8">
        <v>1185.2</v>
      </c>
      <c r="D27" s="8">
        <v>840.15</v>
      </c>
      <c r="E27" s="8">
        <v>1120.4000000000001</v>
      </c>
      <c r="F27" s="8">
        <v>16800</v>
      </c>
      <c r="G27" s="9">
        <v>0.26400000000000001</v>
      </c>
      <c r="H27" s="7" t="s">
        <v>84</v>
      </c>
      <c r="I27" s="9">
        <v>0.27149999999999996</v>
      </c>
      <c r="J27" s="9">
        <v>0.10400000000000001</v>
      </c>
      <c r="K27" s="9">
        <v>0.17800000000000002</v>
      </c>
      <c r="L27" s="9">
        <v>0.44650000000000001</v>
      </c>
      <c r="M27" s="8">
        <v>272450</v>
      </c>
      <c r="N27" s="7">
        <v>22.15</v>
      </c>
      <c r="O27" s="8">
        <v>50.58</v>
      </c>
      <c r="P27" s="9">
        <v>0.14800000000000002</v>
      </c>
      <c r="Q27" s="7">
        <v>1.28</v>
      </c>
      <c r="R27" s="7">
        <v>18.5</v>
      </c>
      <c r="S27" s="8">
        <v>182400</v>
      </c>
      <c r="T27" s="8">
        <v>12320</v>
      </c>
    </row>
    <row r="28" spans="1:20" x14ac:dyDescent="0.3">
      <c r="A28" s="11" t="s">
        <v>42</v>
      </c>
      <c r="B28" s="7">
        <v>2025</v>
      </c>
      <c r="C28" s="8">
        <v>338.6</v>
      </c>
      <c r="D28" s="8">
        <v>203.1</v>
      </c>
      <c r="E28" s="8">
        <v>312.45</v>
      </c>
      <c r="F28" s="8">
        <v>14850</v>
      </c>
      <c r="G28" s="9">
        <v>0.26250000000000001</v>
      </c>
      <c r="H28" s="7" t="s">
        <v>72</v>
      </c>
      <c r="I28" s="9">
        <v>0.11550000000000001</v>
      </c>
      <c r="J28" s="9">
        <v>0.1545</v>
      </c>
      <c r="K28" s="9">
        <v>0.25869999999999999</v>
      </c>
      <c r="L28" s="9">
        <v>0.47119999999999995</v>
      </c>
      <c r="M28" s="8">
        <v>149495</v>
      </c>
      <c r="N28" s="7">
        <v>90.73</v>
      </c>
      <c r="O28" s="8">
        <v>2.5299999999999998</v>
      </c>
      <c r="P28" s="9">
        <v>2.2200000000000001E-2</v>
      </c>
      <c r="Q28" s="7">
        <v>1.1499999999999999</v>
      </c>
      <c r="R28" s="7">
        <v>17.440000000000001</v>
      </c>
      <c r="S28" s="8">
        <v>2494.75</v>
      </c>
      <c r="T28" s="8">
        <v>1288.68</v>
      </c>
    </row>
    <row r="29" spans="1:20" x14ac:dyDescent="0.3">
      <c r="A29" s="11" t="s">
        <v>43</v>
      </c>
      <c r="B29" s="7">
        <v>2025</v>
      </c>
      <c r="C29" s="8">
        <v>2140.5</v>
      </c>
      <c r="D29" s="8">
        <v>1680</v>
      </c>
      <c r="E29" s="8">
        <v>2012.4</v>
      </c>
      <c r="F29" s="8">
        <v>18200</v>
      </c>
      <c r="G29" s="9">
        <v>0.14199999999999999</v>
      </c>
      <c r="H29" s="7" t="s">
        <v>70</v>
      </c>
      <c r="I29" s="9">
        <v>0.36799999999999999</v>
      </c>
      <c r="J29" s="9">
        <v>0.2215</v>
      </c>
      <c r="K29" s="9">
        <v>0.152</v>
      </c>
      <c r="L29" s="9">
        <v>0.25850000000000001</v>
      </c>
      <c r="M29" s="8">
        <v>398450</v>
      </c>
      <c r="N29" s="7">
        <v>24.5</v>
      </c>
      <c r="O29" s="8">
        <v>82.14</v>
      </c>
      <c r="P29" s="9">
        <v>0.14099999999999999</v>
      </c>
      <c r="Q29" s="7">
        <v>1.05</v>
      </c>
      <c r="R29" s="7">
        <v>18.5</v>
      </c>
      <c r="S29" s="8">
        <v>62450</v>
      </c>
      <c r="T29" s="8">
        <v>16320</v>
      </c>
    </row>
    <row r="30" spans="1:20" x14ac:dyDescent="0.3">
      <c r="A30" s="11" t="s">
        <v>44</v>
      </c>
      <c r="B30" s="7">
        <v>2025</v>
      </c>
      <c r="C30" s="8">
        <v>4380.5</v>
      </c>
      <c r="D30" s="8">
        <v>3120</v>
      </c>
      <c r="E30" s="8">
        <v>4115.3999999999996</v>
      </c>
      <c r="F30" s="8">
        <v>22400</v>
      </c>
      <c r="G30" s="9">
        <v>0.28600000000000003</v>
      </c>
      <c r="H30" s="7" t="s">
        <v>85</v>
      </c>
      <c r="I30" s="9">
        <v>0.254</v>
      </c>
      <c r="J30" s="9">
        <v>0.3715</v>
      </c>
      <c r="K30" s="9">
        <v>0.1825</v>
      </c>
      <c r="L30" s="9">
        <v>0</v>
      </c>
      <c r="M30" s="8">
        <v>578250</v>
      </c>
      <c r="N30" s="7">
        <v>36.200000000000003</v>
      </c>
      <c r="O30" s="8">
        <v>113.68</v>
      </c>
      <c r="P30" s="9">
        <v>0.154</v>
      </c>
      <c r="Q30" s="7">
        <v>1.02</v>
      </c>
      <c r="R30" s="7">
        <v>28.5</v>
      </c>
      <c r="S30" s="8">
        <v>242600</v>
      </c>
      <c r="T30" s="8">
        <v>15450</v>
      </c>
    </row>
    <row r="31" spans="1:20" x14ac:dyDescent="0.3">
      <c r="A31" s="11" t="s">
        <v>45</v>
      </c>
      <c r="B31" s="7">
        <v>2025</v>
      </c>
      <c r="C31" s="8">
        <v>3839.9</v>
      </c>
      <c r="D31" s="8">
        <v>2360.4499999999998</v>
      </c>
      <c r="E31" s="8">
        <v>3763</v>
      </c>
      <c r="F31" s="8">
        <v>28450</v>
      </c>
      <c r="G31" s="9">
        <v>0.23519999999999999</v>
      </c>
      <c r="H31" s="7" t="s">
        <v>71</v>
      </c>
      <c r="I31" s="9">
        <v>0.37490000000000001</v>
      </c>
      <c r="J31" s="9">
        <v>0.30519999999999997</v>
      </c>
      <c r="K31" s="9">
        <v>0.1356</v>
      </c>
      <c r="L31" s="9">
        <v>0.18440000000000001</v>
      </c>
      <c r="M31" s="8">
        <v>414000</v>
      </c>
      <c r="N31" s="7">
        <v>24</v>
      </c>
      <c r="O31" s="8">
        <v>139.74</v>
      </c>
      <c r="P31" s="9">
        <v>0.1973</v>
      </c>
      <c r="Q31" s="7">
        <v>1.39</v>
      </c>
      <c r="R31" s="7">
        <v>26.6</v>
      </c>
      <c r="S31" s="8">
        <v>159211</v>
      </c>
      <c r="T31" s="8">
        <v>12929</v>
      </c>
    </row>
    <row r="32" spans="1:20" x14ac:dyDescent="0.3">
      <c r="A32" s="11" t="s">
        <v>46</v>
      </c>
      <c r="B32" s="7">
        <v>2025</v>
      </c>
      <c r="C32" s="8">
        <v>16697</v>
      </c>
      <c r="D32" s="8">
        <v>11208.3</v>
      </c>
      <c r="E32" s="8">
        <v>16697</v>
      </c>
      <c r="F32" s="8">
        <v>48200</v>
      </c>
      <c r="G32" s="9">
        <v>0.48969999999999997</v>
      </c>
      <c r="H32" s="7" t="s">
        <v>71</v>
      </c>
      <c r="I32" s="9">
        <v>0.15759999999999999</v>
      </c>
      <c r="J32" s="9">
        <v>0.2291</v>
      </c>
      <c r="K32" s="9">
        <v>3.04E-2</v>
      </c>
      <c r="L32" s="9">
        <v>0.58279999999999998</v>
      </c>
      <c r="M32" s="8">
        <v>397184</v>
      </c>
      <c r="N32" s="7">
        <v>26.53</v>
      </c>
      <c r="O32" s="8">
        <v>474.92</v>
      </c>
      <c r="P32" s="9">
        <v>0.1507</v>
      </c>
      <c r="Q32" s="7">
        <v>0.92</v>
      </c>
      <c r="R32" s="7">
        <v>26.6</v>
      </c>
      <c r="S32" s="8">
        <v>152913</v>
      </c>
      <c r="T32" s="8">
        <v>14500</v>
      </c>
    </row>
    <row r="33" spans="1:20" x14ac:dyDescent="0.3">
      <c r="A33" s="11" t="s">
        <v>47</v>
      </c>
      <c r="B33" s="7">
        <v>2025</v>
      </c>
      <c r="C33" s="8">
        <v>1314.3</v>
      </c>
      <c r="D33" s="8">
        <v>929.05</v>
      </c>
      <c r="E33" s="8">
        <v>1044.9000000000001</v>
      </c>
      <c r="F33" s="8">
        <v>15500</v>
      </c>
      <c r="G33" s="9">
        <v>0.122</v>
      </c>
      <c r="H33" s="7" t="s">
        <v>86</v>
      </c>
      <c r="I33" s="9">
        <v>0.50549999999999995</v>
      </c>
      <c r="J33" s="9">
        <v>0.21210000000000001</v>
      </c>
      <c r="K33" s="9">
        <v>4.5199999999999997E-2</v>
      </c>
      <c r="L33" s="9">
        <v>0.23719999999999999</v>
      </c>
      <c r="M33" s="8">
        <v>101644</v>
      </c>
      <c r="N33" s="7">
        <v>64.78</v>
      </c>
      <c r="O33" s="8">
        <v>11.07</v>
      </c>
      <c r="P33" s="9">
        <v>0.1222</v>
      </c>
      <c r="Q33" s="7">
        <v>0.85</v>
      </c>
      <c r="R33" s="7">
        <v>45.5</v>
      </c>
      <c r="S33" s="8">
        <v>7028.46</v>
      </c>
      <c r="T33" s="8">
        <v>1075.8800000000001</v>
      </c>
    </row>
    <row r="34" spans="1:20" x14ac:dyDescent="0.3">
      <c r="A34" s="11" t="s">
        <v>48</v>
      </c>
      <c r="B34" s="7">
        <v>2025</v>
      </c>
      <c r="C34" s="8">
        <v>448.5</v>
      </c>
      <c r="D34" s="8">
        <v>310.2</v>
      </c>
      <c r="E34" s="8">
        <v>412.4</v>
      </c>
      <c r="F34" s="8">
        <v>38450</v>
      </c>
      <c r="G34" s="9">
        <v>0.28399999999999997</v>
      </c>
      <c r="H34" s="7" t="s">
        <v>87</v>
      </c>
      <c r="I34" s="9">
        <v>0.16239999999999999</v>
      </c>
      <c r="J34" s="9">
        <v>0.29189999999999999</v>
      </c>
      <c r="K34" s="9">
        <v>3.4599999999999999E-2</v>
      </c>
      <c r="L34" s="9">
        <v>0.51100000000000001</v>
      </c>
      <c r="M34" s="8">
        <v>399850</v>
      </c>
      <c r="N34" s="7">
        <v>15.42</v>
      </c>
      <c r="O34" s="8">
        <v>26.75</v>
      </c>
      <c r="P34" s="9">
        <v>0.1389</v>
      </c>
      <c r="Q34" s="7">
        <v>0.78</v>
      </c>
      <c r="R34" s="7">
        <v>23.37</v>
      </c>
      <c r="S34" s="8">
        <v>188138</v>
      </c>
      <c r="T34" s="8">
        <v>23422</v>
      </c>
    </row>
    <row r="35" spans="1:20" x14ac:dyDescent="0.3">
      <c r="A35" s="11" t="s">
        <v>49</v>
      </c>
      <c r="B35" s="7">
        <v>2025</v>
      </c>
      <c r="C35" s="8">
        <v>2775.4</v>
      </c>
      <c r="D35" s="8">
        <v>2145</v>
      </c>
      <c r="E35" s="8">
        <v>2538.6</v>
      </c>
      <c r="F35" s="8">
        <v>8450</v>
      </c>
      <c r="G35" s="9">
        <v>0.1008</v>
      </c>
      <c r="H35" s="7" t="s">
        <v>82</v>
      </c>
      <c r="I35" s="9">
        <v>0.121</v>
      </c>
      <c r="J35" s="9">
        <v>9.35E-2</v>
      </c>
      <c r="K35" s="9">
        <v>0.158</v>
      </c>
      <c r="L35" s="9">
        <v>0.62749999999999995</v>
      </c>
      <c r="M35" s="8">
        <v>244850</v>
      </c>
      <c r="N35" s="7">
        <v>73.510000000000005</v>
      </c>
      <c r="O35" s="8">
        <v>34.380000000000003</v>
      </c>
      <c r="P35" s="9">
        <v>0.88879999999999992</v>
      </c>
      <c r="Q35" s="7">
        <v>0.55000000000000004</v>
      </c>
      <c r="R35" s="7">
        <v>48.5</v>
      </c>
      <c r="S35" s="8">
        <v>22574</v>
      </c>
      <c r="T35" s="8">
        <v>3993</v>
      </c>
    </row>
    <row r="36" spans="1:20" x14ac:dyDescent="0.3">
      <c r="A36" s="11" t="s">
        <v>50</v>
      </c>
      <c r="B36" s="7">
        <v>2025</v>
      </c>
      <c r="C36" s="8">
        <v>293</v>
      </c>
      <c r="D36" s="8">
        <v>205</v>
      </c>
      <c r="E36" s="8">
        <v>287.2</v>
      </c>
      <c r="F36" s="8">
        <v>22450</v>
      </c>
      <c r="G36" s="9">
        <v>0.1759</v>
      </c>
      <c r="H36" s="7" t="s">
        <v>88</v>
      </c>
      <c r="I36" s="9">
        <v>7.4200000000000002E-2</v>
      </c>
      <c r="J36" s="9">
        <v>0.19690000000000002</v>
      </c>
      <c r="K36" s="9">
        <v>0.1399</v>
      </c>
      <c r="L36" s="9">
        <v>0.58889999999999998</v>
      </c>
      <c r="M36" s="8">
        <v>361305</v>
      </c>
      <c r="N36" s="7">
        <v>7.39</v>
      </c>
      <c r="O36" s="8">
        <v>30.23</v>
      </c>
      <c r="P36" s="9">
        <v>0.106</v>
      </c>
      <c r="Q36" s="7">
        <v>1.1200000000000001</v>
      </c>
      <c r="R36" s="7">
        <v>22.07</v>
      </c>
      <c r="S36" s="8">
        <v>663262</v>
      </c>
      <c r="T36" s="8">
        <v>38329</v>
      </c>
    </row>
    <row r="37" spans="1:20" x14ac:dyDescent="0.3">
      <c r="A37" s="11" t="s">
        <v>51</v>
      </c>
      <c r="B37" s="7">
        <v>2025</v>
      </c>
      <c r="C37" s="8">
        <v>322</v>
      </c>
      <c r="D37" s="8">
        <v>255.75</v>
      </c>
      <c r="E37" s="8">
        <v>264.60000000000002</v>
      </c>
      <c r="F37" s="8">
        <v>12208.54</v>
      </c>
      <c r="G37" s="9">
        <v>-0.14749999999999999</v>
      </c>
      <c r="H37" s="7" t="s">
        <v>89</v>
      </c>
      <c r="I37" s="9">
        <v>0.24729999999999999</v>
      </c>
      <c r="J37" s="9">
        <v>0.2026</v>
      </c>
      <c r="K37" s="9">
        <v>3.6699999999999997E-2</v>
      </c>
      <c r="L37" s="9">
        <v>0.51340000000000008</v>
      </c>
      <c r="M37" s="8">
        <v>246047</v>
      </c>
      <c r="N37" s="7">
        <v>17.53</v>
      </c>
      <c r="O37" s="8">
        <v>16.7</v>
      </c>
      <c r="P37" s="9">
        <v>0.1726</v>
      </c>
      <c r="Q37" s="7">
        <v>0.85</v>
      </c>
      <c r="R37" s="7">
        <v>23.37</v>
      </c>
      <c r="S37" s="8">
        <v>47342</v>
      </c>
      <c r="T37" s="8">
        <v>15450</v>
      </c>
    </row>
    <row r="38" spans="1:20" x14ac:dyDescent="0.3">
      <c r="A38" s="11" t="s">
        <v>52</v>
      </c>
      <c r="B38" s="7">
        <v>2025</v>
      </c>
      <c r="C38" s="8">
        <v>3212</v>
      </c>
      <c r="D38" s="8">
        <v>2410.5</v>
      </c>
      <c r="E38" s="8">
        <v>3115.4</v>
      </c>
      <c r="F38" s="8">
        <v>62450</v>
      </c>
      <c r="G38" s="9">
        <v>0.214</v>
      </c>
      <c r="H38" s="7" t="s">
        <v>90</v>
      </c>
      <c r="I38" s="9">
        <v>0.19089999999999999</v>
      </c>
      <c r="J38" s="9">
        <v>0.20180000000000001</v>
      </c>
      <c r="K38" s="9">
        <v>0.10730000000000001</v>
      </c>
      <c r="L38" s="9">
        <v>0.50009999999999999</v>
      </c>
      <c r="M38" s="8">
        <v>1901587</v>
      </c>
      <c r="N38" s="7">
        <v>25.76</v>
      </c>
      <c r="O38" s="8">
        <v>72.25</v>
      </c>
      <c r="P38" s="9">
        <v>9.4700000000000006E-2</v>
      </c>
      <c r="Q38" s="7">
        <v>1.08</v>
      </c>
      <c r="R38" s="7">
        <v>18.2</v>
      </c>
      <c r="S38" s="8">
        <v>1071174</v>
      </c>
      <c r="T38" s="8">
        <v>81309</v>
      </c>
    </row>
    <row r="39" spans="1:20" x14ac:dyDescent="0.3">
      <c r="A39" s="11" t="s">
        <v>53</v>
      </c>
      <c r="B39" s="7">
        <v>2025</v>
      </c>
      <c r="C39" s="8">
        <v>2034.9</v>
      </c>
      <c r="D39" s="8">
        <v>1400.4</v>
      </c>
      <c r="E39" s="8">
        <v>2034.9</v>
      </c>
      <c r="F39" s="8">
        <v>19379.29</v>
      </c>
      <c r="G39" s="9">
        <v>0.4531</v>
      </c>
      <c r="H39" s="7" t="s">
        <v>80</v>
      </c>
      <c r="I39" s="9">
        <v>0.21879999999999999</v>
      </c>
      <c r="J39" s="9">
        <v>0.18719999999999998</v>
      </c>
      <c r="K39" s="9">
        <v>4.0599999999999997E-2</v>
      </c>
      <c r="L39" s="9">
        <v>0.5534</v>
      </c>
      <c r="M39" s="8">
        <v>193792</v>
      </c>
      <c r="N39" s="7">
        <v>77.25</v>
      </c>
      <c r="O39" s="8">
        <v>24.72</v>
      </c>
      <c r="P39" s="9">
        <v>0.15380000000000002</v>
      </c>
      <c r="Q39" s="7">
        <v>0.85</v>
      </c>
      <c r="R39" s="7">
        <v>45.5</v>
      </c>
      <c r="S39" s="8">
        <v>117119</v>
      </c>
      <c r="T39" s="8">
        <v>2379.0100000000002</v>
      </c>
    </row>
    <row r="40" spans="1:20" x14ac:dyDescent="0.3">
      <c r="A40" s="11" t="s">
        <v>54</v>
      </c>
      <c r="B40" s="7">
        <v>2025</v>
      </c>
      <c r="C40" s="8">
        <v>1108</v>
      </c>
      <c r="D40" s="8">
        <v>566.4</v>
      </c>
      <c r="E40" s="8">
        <v>1034.9000000000001</v>
      </c>
      <c r="F40" s="8">
        <v>11450</v>
      </c>
      <c r="G40" s="9">
        <v>0.36409999999999998</v>
      </c>
      <c r="H40" s="7" t="s">
        <v>91</v>
      </c>
      <c r="I40" s="9">
        <v>0.47220000000000001</v>
      </c>
      <c r="J40" s="9">
        <v>0.21299999999999999</v>
      </c>
      <c r="K40" s="9">
        <v>6.0999999999999999E-2</v>
      </c>
      <c r="L40" s="9">
        <v>0.25379999999999997</v>
      </c>
      <c r="M40" s="8">
        <v>189022</v>
      </c>
      <c r="N40" s="7">
        <v>19.12</v>
      </c>
      <c r="O40" s="8">
        <v>48.49</v>
      </c>
      <c r="P40" s="9">
        <v>0.17899999999999999</v>
      </c>
      <c r="Q40" s="7">
        <v>1.63</v>
      </c>
      <c r="R40" s="7">
        <v>20.45</v>
      </c>
      <c r="S40" s="8">
        <v>41859</v>
      </c>
      <c r="T40" s="8">
        <v>9761</v>
      </c>
    </row>
    <row r="41" spans="1:20" x14ac:dyDescent="0.3">
      <c r="A41" s="11" t="s">
        <v>55</v>
      </c>
      <c r="B41" s="7">
        <v>2025</v>
      </c>
      <c r="C41" s="8">
        <v>916.6</v>
      </c>
      <c r="D41" s="8">
        <v>730</v>
      </c>
      <c r="E41" s="8">
        <v>912.4</v>
      </c>
      <c r="F41" s="8">
        <v>42125.96</v>
      </c>
      <c r="G41" s="9">
        <v>0.30649999999999999</v>
      </c>
      <c r="H41" s="7" t="s">
        <v>70</v>
      </c>
      <c r="I41" s="9">
        <v>0.10349999999999999</v>
      </c>
      <c r="J41" s="9">
        <v>0.2717</v>
      </c>
      <c r="K41" s="9">
        <v>6.9599999999999995E-2</v>
      </c>
      <c r="L41" s="9">
        <v>0.55500000000000005</v>
      </c>
      <c r="M41" s="8">
        <v>940046</v>
      </c>
      <c r="N41" s="7">
        <v>8.9</v>
      </c>
      <c r="O41" s="8">
        <v>79.44</v>
      </c>
      <c r="P41" s="9">
        <v>0.19870000000000002</v>
      </c>
      <c r="Q41" s="7">
        <v>1.52</v>
      </c>
      <c r="R41" s="7">
        <v>12.6</v>
      </c>
      <c r="S41" s="8">
        <v>185648</v>
      </c>
      <c r="T41" s="8">
        <v>70901</v>
      </c>
    </row>
    <row r="42" spans="1:20" x14ac:dyDescent="0.3">
      <c r="A42" s="11" t="s">
        <v>56</v>
      </c>
      <c r="B42" s="7">
        <v>2025</v>
      </c>
      <c r="C42" s="8">
        <v>1851.2</v>
      </c>
      <c r="D42" s="8">
        <v>1547.25</v>
      </c>
      <c r="E42" s="8">
        <v>1694.2</v>
      </c>
      <c r="F42" s="8">
        <v>15520.54</v>
      </c>
      <c r="G42" s="9">
        <v>0.13489999999999999</v>
      </c>
      <c r="H42" s="7" t="s">
        <v>75</v>
      </c>
      <c r="I42" s="9">
        <v>0.16120000000000001</v>
      </c>
      <c r="J42" s="9">
        <v>0.2082</v>
      </c>
      <c r="K42" s="9">
        <v>8.5800000000000001E-2</v>
      </c>
      <c r="L42" s="9">
        <v>0.54479999999999995</v>
      </c>
      <c r="M42" s="8">
        <v>406351</v>
      </c>
      <c r="N42" s="7">
        <v>33.479999999999997</v>
      </c>
      <c r="O42" s="8">
        <v>49.2</v>
      </c>
      <c r="P42" s="9">
        <v>0.16899999999999998</v>
      </c>
      <c r="Q42" s="7">
        <v>0.68</v>
      </c>
      <c r="R42" s="7">
        <v>34.5</v>
      </c>
      <c r="S42" s="8">
        <v>52578</v>
      </c>
      <c r="T42" s="8">
        <v>10900</v>
      </c>
    </row>
    <row r="43" spans="1:20" x14ac:dyDescent="0.3">
      <c r="A43" s="11" t="s">
        <v>57</v>
      </c>
      <c r="B43" s="7">
        <v>2025</v>
      </c>
      <c r="C43" s="8">
        <v>4592.25</v>
      </c>
      <c r="D43" s="8">
        <v>3630</v>
      </c>
      <c r="E43" s="8">
        <v>4215</v>
      </c>
      <c r="F43" s="8">
        <v>58450</v>
      </c>
      <c r="G43" s="9">
        <v>0.1245</v>
      </c>
      <c r="H43" s="7" t="s">
        <v>79</v>
      </c>
      <c r="I43" s="9">
        <v>0.10369999999999999</v>
      </c>
      <c r="J43" s="9">
        <v>0.12869999999999998</v>
      </c>
      <c r="K43" s="9">
        <v>4.99E-2</v>
      </c>
      <c r="L43" s="9">
        <v>0.7177</v>
      </c>
      <c r="M43" s="8">
        <v>1455059</v>
      </c>
      <c r="N43" s="7">
        <v>24</v>
      </c>
      <c r="O43" s="8">
        <v>134.9</v>
      </c>
      <c r="P43" s="9">
        <v>0.52400000000000002</v>
      </c>
      <c r="Q43" s="7">
        <v>0.65</v>
      </c>
      <c r="R43" s="7">
        <v>28.4</v>
      </c>
      <c r="S43" s="8">
        <v>255324</v>
      </c>
      <c r="T43" s="8">
        <v>48553</v>
      </c>
    </row>
    <row r="44" spans="1:20" x14ac:dyDescent="0.3">
      <c r="A44" s="11" t="s">
        <v>58</v>
      </c>
      <c r="B44" s="7">
        <v>2025</v>
      </c>
      <c r="C44" s="8">
        <v>1220.9000000000001</v>
      </c>
      <c r="D44" s="8">
        <v>1007.2</v>
      </c>
      <c r="E44" s="8">
        <v>1185.5</v>
      </c>
      <c r="F44" s="8">
        <v>14250</v>
      </c>
      <c r="G44" s="9">
        <v>0.184</v>
      </c>
      <c r="H44" s="7" t="s">
        <v>82</v>
      </c>
      <c r="I44" s="9">
        <v>0.21929999999999999</v>
      </c>
      <c r="J44" s="9">
        <v>0.2346</v>
      </c>
      <c r="K44" s="9">
        <v>0.2077</v>
      </c>
      <c r="L44" s="9">
        <v>0.33840000000000003</v>
      </c>
      <c r="M44" s="8">
        <v>114522</v>
      </c>
      <c r="N44" s="7">
        <v>83.3</v>
      </c>
      <c r="O44" s="8">
        <v>15.55</v>
      </c>
      <c r="P44" s="9">
        <v>8.2299999999999998E-2</v>
      </c>
      <c r="Q44" s="7">
        <v>0.72</v>
      </c>
      <c r="R44" s="7">
        <v>48.5</v>
      </c>
      <c r="S44" s="8">
        <v>17618</v>
      </c>
      <c r="T44" s="8">
        <v>1380</v>
      </c>
    </row>
    <row r="45" spans="1:20" x14ac:dyDescent="0.3">
      <c r="A45" s="11" t="s">
        <v>59</v>
      </c>
      <c r="B45" s="7">
        <v>2025</v>
      </c>
      <c r="C45" s="8">
        <v>1179</v>
      </c>
      <c r="D45" s="8">
        <v>780</v>
      </c>
      <c r="E45" s="8">
        <v>1092.45</v>
      </c>
      <c r="F45" s="8">
        <v>52150</v>
      </c>
      <c r="G45" s="9">
        <v>0.38600000000000001</v>
      </c>
      <c r="H45" s="7" t="s">
        <v>71</v>
      </c>
      <c r="I45" s="9">
        <v>0.192</v>
      </c>
      <c r="J45" s="9">
        <v>0.16449999999999998</v>
      </c>
      <c r="K45" s="9">
        <v>0.18149999999999999</v>
      </c>
      <c r="L45" s="9">
        <v>0.46200000000000002</v>
      </c>
      <c r="M45" s="8">
        <v>402850</v>
      </c>
      <c r="N45" s="7">
        <v>11.4</v>
      </c>
      <c r="O45" s="8">
        <v>95.82</v>
      </c>
      <c r="P45" s="9">
        <v>0.1825</v>
      </c>
      <c r="Q45" s="7">
        <v>1.45</v>
      </c>
      <c r="R45" s="7">
        <v>26.6</v>
      </c>
      <c r="S45" s="8">
        <v>468200</v>
      </c>
      <c r="T45" s="8">
        <v>31800</v>
      </c>
    </row>
    <row r="46" spans="1:20" x14ac:dyDescent="0.3">
      <c r="A46" s="11" t="s">
        <v>60</v>
      </c>
      <c r="B46" s="7">
        <v>2025</v>
      </c>
      <c r="C46" s="8">
        <v>184.6</v>
      </c>
      <c r="D46" s="8">
        <v>132.1</v>
      </c>
      <c r="E46" s="8">
        <v>172.35</v>
      </c>
      <c r="F46" s="8">
        <v>34850</v>
      </c>
      <c r="G46" s="9">
        <v>0.152</v>
      </c>
      <c r="H46" s="7" t="s">
        <v>84</v>
      </c>
      <c r="I46" s="9">
        <v>0.1968</v>
      </c>
      <c r="J46" s="9">
        <v>0.2452</v>
      </c>
      <c r="K46" s="9">
        <v>0.22539999999999999</v>
      </c>
      <c r="L46" s="9">
        <v>0.33260000000000001</v>
      </c>
      <c r="M46" s="8">
        <v>215450</v>
      </c>
      <c r="N46" s="7">
        <v>14.8</v>
      </c>
      <c r="O46" s="8">
        <v>11.65</v>
      </c>
      <c r="P46" s="9">
        <v>0.1245</v>
      </c>
      <c r="Q46" s="7">
        <v>1.28</v>
      </c>
      <c r="R46" s="7">
        <v>18.5</v>
      </c>
      <c r="S46" s="8">
        <v>238500</v>
      </c>
      <c r="T46" s="8">
        <v>14200</v>
      </c>
    </row>
    <row r="47" spans="1:20" x14ac:dyDescent="0.3">
      <c r="A47" s="11" t="s">
        <v>61</v>
      </c>
      <c r="B47" s="7">
        <v>2025</v>
      </c>
      <c r="C47" s="8">
        <v>1705</v>
      </c>
      <c r="D47" s="8">
        <v>1314.4</v>
      </c>
      <c r="E47" s="8">
        <v>1590.9</v>
      </c>
      <c r="F47" s="8">
        <v>16520</v>
      </c>
      <c r="G47" s="9">
        <v>0.158</v>
      </c>
      <c r="H47" s="7" t="s">
        <v>79</v>
      </c>
      <c r="I47" s="9">
        <v>0.1794</v>
      </c>
      <c r="J47" s="9">
        <v>0.37790000000000001</v>
      </c>
      <c r="K47" s="9">
        <v>9.1300000000000006E-2</v>
      </c>
      <c r="L47" s="9">
        <v>0.34979999999999994</v>
      </c>
      <c r="M47" s="8">
        <v>144673</v>
      </c>
      <c r="N47" s="7">
        <v>30.7</v>
      </c>
      <c r="O47" s="8">
        <v>48.05</v>
      </c>
      <c r="P47" s="9">
        <v>0.159</v>
      </c>
      <c r="Q47" s="7">
        <v>1.1200000000000001</v>
      </c>
      <c r="R47" s="7">
        <v>28.4</v>
      </c>
      <c r="S47" s="8">
        <v>52988</v>
      </c>
      <c r="T47" s="8">
        <v>4252</v>
      </c>
    </row>
    <row r="48" spans="1:20" x14ac:dyDescent="0.3">
      <c r="A48" s="11" t="s">
        <v>62</v>
      </c>
      <c r="B48" s="7">
        <v>2025</v>
      </c>
      <c r="C48" s="8">
        <v>4378.3999999999996</v>
      </c>
      <c r="D48" s="8">
        <v>2925</v>
      </c>
      <c r="E48" s="8">
        <v>4051.5</v>
      </c>
      <c r="F48" s="8">
        <v>24150</v>
      </c>
      <c r="G48" s="9">
        <v>0.22399999999999998</v>
      </c>
      <c r="H48" s="7" t="s">
        <v>92</v>
      </c>
      <c r="I48" s="9">
        <v>0.1555</v>
      </c>
      <c r="J48" s="9">
        <v>0.15</v>
      </c>
      <c r="K48" s="9">
        <v>0.16550000000000001</v>
      </c>
      <c r="L48" s="9">
        <v>0.52900000000000003</v>
      </c>
      <c r="M48" s="8">
        <v>360929</v>
      </c>
      <c r="N48" s="7">
        <v>81.709999999999994</v>
      </c>
      <c r="O48" s="8">
        <v>37.49</v>
      </c>
      <c r="P48" s="9">
        <v>0.31900000000000001</v>
      </c>
      <c r="Q48" s="7">
        <v>0.82</v>
      </c>
      <c r="R48" s="7">
        <v>36.75</v>
      </c>
      <c r="S48" s="8">
        <v>60943</v>
      </c>
      <c r="T48" s="8">
        <v>3337</v>
      </c>
    </row>
    <row r="49" spans="1:20" x14ac:dyDescent="0.3">
      <c r="A49" s="11" t="s">
        <v>63</v>
      </c>
      <c r="B49" s="7">
        <v>2025</v>
      </c>
      <c r="C49" s="8">
        <v>4378.3999999999996</v>
      </c>
      <c r="D49" s="8">
        <v>2925</v>
      </c>
      <c r="E49" s="8">
        <v>4051.5</v>
      </c>
      <c r="F49" s="8">
        <v>24150</v>
      </c>
      <c r="G49" s="9">
        <v>1.26</v>
      </c>
      <c r="H49" s="7" t="s">
        <v>93</v>
      </c>
      <c r="I49" s="9">
        <v>0.15620000000000001</v>
      </c>
      <c r="J49" s="9">
        <v>0.215</v>
      </c>
      <c r="K49" s="9">
        <v>0.25869999999999999</v>
      </c>
      <c r="L49" s="9">
        <v>0.37009999999999998</v>
      </c>
      <c r="M49" s="8">
        <v>144050</v>
      </c>
      <c r="N49" s="7">
        <v>89.54</v>
      </c>
      <c r="O49" s="8">
        <v>45.22</v>
      </c>
      <c r="P49" s="9">
        <v>0.32200000000000001</v>
      </c>
      <c r="Q49" s="7">
        <v>0.95</v>
      </c>
      <c r="R49" s="7">
        <v>82.75</v>
      </c>
      <c r="S49" s="8">
        <v>16128</v>
      </c>
      <c r="T49" s="8">
        <v>1487</v>
      </c>
    </row>
    <row r="50" spans="1:20" x14ac:dyDescent="0.3">
      <c r="A50" s="11" t="s">
        <v>64</v>
      </c>
      <c r="B50" s="7">
        <v>2025</v>
      </c>
      <c r="C50" s="8">
        <v>12339</v>
      </c>
      <c r="D50" s="8">
        <v>9408.0499999999993</v>
      </c>
      <c r="E50" s="8">
        <v>11250</v>
      </c>
      <c r="F50" s="8">
        <v>22450</v>
      </c>
      <c r="G50" s="9">
        <v>0.185</v>
      </c>
      <c r="H50" s="7" t="s">
        <v>78</v>
      </c>
      <c r="I50" s="9">
        <v>0.1444</v>
      </c>
      <c r="J50" s="9">
        <v>0.18</v>
      </c>
      <c r="K50" s="9">
        <v>8.2699999999999996E-2</v>
      </c>
      <c r="L50" s="9">
        <v>0.59289999999999998</v>
      </c>
      <c r="M50" s="8">
        <v>322723</v>
      </c>
      <c r="N50" s="7">
        <v>41.79</v>
      </c>
      <c r="O50" s="8">
        <v>254.13</v>
      </c>
      <c r="P50" s="9">
        <v>9.64E-2</v>
      </c>
      <c r="Q50" s="7">
        <v>0.99</v>
      </c>
      <c r="R50" s="7">
        <v>38.5</v>
      </c>
      <c r="S50" s="8">
        <v>71894</v>
      </c>
      <c r="T50" s="8">
        <v>6039</v>
      </c>
    </row>
    <row r="51" spans="1:20" x14ac:dyDescent="0.3">
      <c r="A51" s="11" t="s">
        <v>65</v>
      </c>
      <c r="B51" s="7">
        <v>2025</v>
      </c>
      <c r="C51" s="8">
        <v>273.10000000000002</v>
      </c>
      <c r="D51" s="8">
        <v>186.5</v>
      </c>
      <c r="E51" s="8">
        <v>265.39999999999998</v>
      </c>
      <c r="F51" s="8">
        <v>20430</v>
      </c>
      <c r="G51" s="9">
        <v>5.8799999999999998E-2</v>
      </c>
      <c r="H51" s="7" t="s">
        <v>79</v>
      </c>
      <c r="I51" s="9">
        <v>0.10490000000000001</v>
      </c>
      <c r="J51" s="9">
        <v>8.3800000000000013E-2</v>
      </c>
      <c r="K51" s="9">
        <v>8.3800000000000013E-2</v>
      </c>
      <c r="L51" s="9">
        <v>0.72629999999999995</v>
      </c>
      <c r="M51" s="8">
        <v>204314</v>
      </c>
      <c r="N51" s="7">
        <v>20.9</v>
      </c>
      <c r="O51" s="8">
        <v>12.54</v>
      </c>
      <c r="P51" s="9">
        <v>0.1699</v>
      </c>
      <c r="Q51" s="7">
        <v>0.88</v>
      </c>
      <c r="R51" s="7">
        <v>28.4</v>
      </c>
      <c r="S51" s="8">
        <v>89088</v>
      </c>
      <c r="T51" s="8">
        <v>13135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0270-E79D-4C79-8ED0-3EEBC8A8C398}">
  <sheetPr codeName="Sheet3"/>
  <dimension ref="A1:Q51"/>
  <sheetViews>
    <sheetView zoomScaleNormal="100"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1" width="36.21875" style="14" bestFit="1" customWidth="1"/>
    <col min="2" max="2" width="25" style="1" bestFit="1" customWidth="1"/>
    <col min="3" max="3" width="12.6640625" style="1" bestFit="1" customWidth="1"/>
    <col min="4" max="4" width="12.44140625" style="1" bestFit="1" customWidth="1"/>
    <col min="5" max="5" width="10.5546875" style="1" bestFit="1" customWidth="1"/>
    <col min="6" max="6" width="10.88671875" style="1" bestFit="1" customWidth="1"/>
    <col min="7" max="7" width="14" style="1" bestFit="1" customWidth="1"/>
    <col min="8" max="8" width="16.77734375" style="1" customWidth="1"/>
    <col min="9" max="9" width="26.88671875" style="1" bestFit="1" customWidth="1"/>
    <col min="10" max="10" width="18.109375" style="1" bestFit="1" customWidth="1"/>
    <col min="11" max="11" width="15.77734375" style="1" bestFit="1" customWidth="1"/>
    <col min="12" max="12" width="22.5546875" bestFit="1" customWidth="1"/>
    <col min="13" max="13" width="11.21875" bestFit="1" customWidth="1"/>
    <col min="14" max="14" width="15.5546875" bestFit="1" customWidth="1"/>
    <col min="15" max="15" width="11.33203125" bestFit="1" customWidth="1"/>
    <col min="16" max="16" width="10.88671875" bestFit="1" customWidth="1"/>
    <col min="17" max="17" width="22.77734375" bestFit="1" customWidth="1"/>
  </cols>
  <sheetData>
    <row r="1" spans="1:17" ht="15.6" x14ac:dyDescent="0.3">
      <c r="A1" s="15" t="s">
        <v>0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115</v>
      </c>
      <c r="J1" s="4" t="s">
        <v>110</v>
      </c>
      <c r="K1" s="4" t="s">
        <v>111</v>
      </c>
      <c r="L1" s="4" t="s">
        <v>112</v>
      </c>
      <c r="M1" s="4" t="s">
        <v>116</v>
      </c>
      <c r="N1" s="4" t="s">
        <v>113</v>
      </c>
      <c r="O1" s="4" t="s">
        <v>114</v>
      </c>
      <c r="P1" s="3" t="s">
        <v>117</v>
      </c>
      <c r="Q1" s="4" t="s">
        <v>118</v>
      </c>
    </row>
    <row r="2" spans="1:17" x14ac:dyDescent="0.3">
      <c r="A2" s="16" t="s">
        <v>16</v>
      </c>
      <c r="B2" s="9">
        <f>('2025'!S2 - '2024'!S2) / '2024'!S2</f>
        <v>-0.11092669432918395</v>
      </c>
      <c r="C2" s="9">
        <f>('2025'!T2 - '2024'!T2) / '2024'!T2</f>
        <v>-0.21359223300970873</v>
      </c>
      <c r="D2" s="9">
        <f>('2025'!E2 - '2024'!E2) / '2024'!E2</f>
        <v>1.6209796494831249E-3</v>
      </c>
      <c r="E2" s="9">
        <f>'2025'!I2 - '2024'!I2</f>
        <v>2.1000000000000185E-3</v>
      </c>
      <c r="F2" s="9">
        <f>'2025'!J2-'2024'!J2</f>
        <v>1.6599999999999997E-2</v>
      </c>
      <c r="G2" s="9">
        <f>'2025'!K2-'2024'!K2</f>
        <v>-1.8699999999999994E-2</v>
      </c>
      <c r="H2" s="9">
        <f>'2025'!L2-'2024'!L2</f>
        <v>0</v>
      </c>
      <c r="I2" s="9" t="str">
        <f>IF(D2 &gt; C2,"Overhyped","Fundamentally Strong")</f>
        <v>Overhyped</v>
      </c>
      <c r="J2" s="9">
        <f t="shared" ref="J2:J33" si="0">(B2 + C2 + D2)/3</f>
        <v>-0.10763264922980319</v>
      </c>
      <c r="K2" s="7" t="str">
        <f>IF('2025'!N2&gt;'2025'!R2,"Overvalued","Undervalued")</f>
        <v>Overvalued</v>
      </c>
      <c r="L2" s="7" t="str">
        <f t="shared" ref="L2:L33" si="1">IF(AND(B2&gt;0.15,C2&gt;0.15),"Strong","Weak")</f>
        <v>Weak</v>
      </c>
      <c r="M2" s="17" t="str">
        <f>IF(D2&gt;0,"▲ Bullish","▼ Bearish")</f>
        <v>▲ Bullish</v>
      </c>
      <c r="N2" s="7" t="str">
        <f>IF(E2&gt;0,"High Interest","Low Interest")</f>
        <v>High Interest</v>
      </c>
      <c r="O2" s="7" t="str">
        <f>IF(AND(J2&gt;0.2,'2025'!P2&gt;0.15,'2025'!Q2&lt;1.2),"Strong Buy",
 IF('NIFTY 50 Smart Analysis'!J2&gt;0.1,"Buy","Avoid"))</f>
        <v>Avoid</v>
      </c>
      <c r="P2" s="18" t="str">
        <f>IF(D3&gt;0.1,"🟢BUY",
 IF(D3&gt;0,"🟡HOLD",
 "🔴SELL"))</f>
        <v>🟡HOLD</v>
      </c>
      <c r="Q2" s="7" t="s">
        <v>66</v>
      </c>
    </row>
    <row r="3" spans="1:17" x14ac:dyDescent="0.3">
      <c r="A3" s="16" t="s">
        <v>17</v>
      </c>
      <c r="B3" s="9">
        <f>('2025'!S3 - '2024'!S3) / '2024'!S3</f>
        <v>6.510426416083262E-2</v>
      </c>
      <c r="C3" s="9">
        <f>('2025'!T3 - '2024'!T3) / '2024'!T3</f>
        <v>0.1290720631786772</v>
      </c>
      <c r="D3" s="9">
        <f>('2025'!E3 - '2024'!E3) / '2024'!E3</f>
        <v>1.6524753474909941E-2</v>
      </c>
      <c r="E3" s="9">
        <f>'2025'!I3 - '2024'!I3</f>
        <v>3.4000000000000141E-3</v>
      </c>
      <c r="F3" s="9">
        <f>'2025'!J3-'2024'!J3</f>
        <v>-1.0499999999999995E-2</v>
      </c>
      <c r="G3" s="9">
        <f>'2025'!K3-'2024'!K3</f>
        <v>7.2000000000000119E-3</v>
      </c>
      <c r="H3" s="9">
        <f>'2025'!L3-'2024'!L3</f>
        <v>0</v>
      </c>
      <c r="I3" s="9" t="str">
        <f t="shared" ref="I3:I51" si="2">IF(D3 &gt; C3,"Overhyped","Fundamentally Strong")</f>
        <v>Fundamentally Strong</v>
      </c>
      <c r="J3" s="9">
        <f t="shared" si="0"/>
        <v>7.0233693604806594E-2</v>
      </c>
      <c r="K3" s="7" t="str">
        <f>IF('2025'!N3&gt;'2025'!R3,"Overvalued","Undervalued")</f>
        <v>Overvalued</v>
      </c>
      <c r="L3" s="7" t="str">
        <f t="shared" si="1"/>
        <v>Weak</v>
      </c>
      <c r="M3" s="17" t="str">
        <f t="shared" ref="M3:M25" si="3">IF(D3&gt;0,"▲ Bullish","▼ Bearish")</f>
        <v>▲ Bullish</v>
      </c>
      <c r="N3" s="7" t="str">
        <f t="shared" ref="N3:N51" si="4">IF(E3&gt;0,"High Interest","Low Interest")</f>
        <v>High Interest</v>
      </c>
      <c r="O3" s="7" t="str">
        <f>IF(AND(J3&gt;0.2,'2025'!P3&gt;0.15,'2025'!Q3&lt;1.2),"Strong Buy",
 IF('NIFTY 50 Smart Analysis'!J3&gt;0.1,"Buy","Avoid"))</f>
        <v>Avoid</v>
      </c>
      <c r="P3" s="18" t="str">
        <f t="shared" ref="P3:P8" si="5">IF(D4&gt;0.1,"🟢BUY",
 IF(D4&gt;0,"🟡HOLD",
 "🔴SELL"))</f>
        <v>🟡HOLD</v>
      </c>
      <c r="Q3" s="7" t="s">
        <v>67</v>
      </c>
    </row>
    <row r="4" spans="1:17" x14ac:dyDescent="0.3">
      <c r="A4" s="16" t="s">
        <v>18</v>
      </c>
      <c r="B4" s="9">
        <f>('2025'!S4 - '2024'!S4) / '2024'!S4</f>
        <v>0.12038203190596138</v>
      </c>
      <c r="C4" s="9">
        <f>('2025'!T4 - '2024'!T4) / '2024'!T4</f>
        <v>0.34816462736373749</v>
      </c>
      <c r="D4" s="9">
        <f>('2025'!E4 - '2024'!E4) / '2024'!E4</f>
        <v>9.8699234662387295E-2</v>
      </c>
      <c r="E4" s="9">
        <f>'2025'!I4 - '2024'!I4</f>
        <v>-1.1999999999999789E-3</v>
      </c>
      <c r="F4" s="9">
        <f>'2025'!J4-'2024'!J4</f>
        <v>-7.4999999999999789E-3</v>
      </c>
      <c r="G4" s="9">
        <f>'2025'!K4-'2024'!K4</f>
        <v>8.9999999999999941E-3</v>
      </c>
      <c r="H4" s="9">
        <f>'2025'!L4-'2024'!L4</f>
        <v>-3.0000000000002247E-4</v>
      </c>
      <c r="I4" s="9" t="str">
        <f t="shared" si="2"/>
        <v>Fundamentally Strong</v>
      </c>
      <c r="J4" s="9">
        <f t="shared" si="0"/>
        <v>0.18908196464402871</v>
      </c>
      <c r="K4" s="7" t="str">
        <f>IF('2025'!N4&gt;'2025'!R4,"Overvalued","Undervalued")</f>
        <v>Overvalued</v>
      </c>
      <c r="L4" s="7" t="str">
        <f t="shared" si="1"/>
        <v>Weak</v>
      </c>
      <c r="M4" s="17" t="str">
        <f t="shared" si="3"/>
        <v>▲ Bullish</v>
      </c>
      <c r="N4" s="7" t="str">
        <f t="shared" si="4"/>
        <v>Low Interest</v>
      </c>
      <c r="O4" s="7" t="str">
        <f>IF(AND(J4&gt;0.2,'2025'!P4&gt;0.15,'2025'!Q4&lt;1.2),"Strong Buy",
 IF('NIFTY 50 Smart Analysis'!J4&gt;0.1,"Buy","Avoid"))</f>
        <v>Buy</v>
      </c>
      <c r="P4" s="18" t="str">
        <f t="shared" si="5"/>
        <v>🟡HOLD</v>
      </c>
      <c r="Q4" s="7" t="s">
        <v>68</v>
      </c>
    </row>
    <row r="5" spans="1:17" x14ac:dyDescent="0.3">
      <c r="A5" s="16" t="s">
        <v>19</v>
      </c>
      <c r="B5" s="9">
        <f>('2025'!S5 - '2024'!S5) / '2024'!S5</f>
        <v>9.7368569335662361E-2</v>
      </c>
      <c r="C5" s="9">
        <f>('2025'!T5 - '2024'!T5) / '2024'!T5</f>
        <v>-6.2271062271062272E-2</v>
      </c>
      <c r="D5" s="9">
        <f>('2025'!E5 - '2024'!E5) / '2024'!E5</f>
        <v>7.0584192439862581E-2</v>
      </c>
      <c r="E5" s="9">
        <f>'2025'!I5 - '2024'!I5</f>
        <v>1.799999999999996E-3</v>
      </c>
      <c r="F5" s="9">
        <f>'2025'!J5-'2024'!J5</f>
        <v>2.3000000000000104E-3</v>
      </c>
      <c r="G5" s="9">
        <f>'2025'!K5-'2024'!K5</f>
        <v>-4.0999999999999925E-3</v>
      </c>
      <c r="H5" s="9">
        <f>'2025'!L5-'2024'!L5</f>
        <v>0</v>
      </c>
      <c r="I5" s="9" t="str">
        <f t="shared" si="2"/>
        <v>Overhyped</v>
      </c>
      <c r="J5" s="9">
        <f t="shared" si="0"/>
        <v>3.5227233168154223E-2</v>
      </c>
      <c r="K5" s="7" t="str">
        <f>IF('2025'!N5&gt;'2025'!R5,"Overvalued","Undervalued")</f>
        <v>Overvalued</v>
      </c>
      <c r="L5" s="7" t="str">
        <f t="shared" si="1"/>
        <v>Weak</v>
      </c>
      <c r="M5" s="17" t="str">
        <f t="shared" si="3"/>
        <v>▲ Bullish</v>
      </c>
      <c r="N5" s="7" t="str">
        <f t="shared" si="4"/>
        <v>High Interest</v>
      </c>
      <c r="O5" s="7" t="str">
        <f>IF(AND(J5&gt;0.2,'2025'!P5&gt;0.15,'2025'!Q5&lt;1.2),"Strong Buy",
 IF('NIFTY 50 Smart Analysis'!J5&gt;0.1,"Buy","Avoid"))</f>
        <v>Avoid</v>
      </c>
      <c r="P5" s="18" t="str">
        <f t="shared" si="5"/>
        <v>🟡HOLD</v>
      </c>
      <c r="Q5" s="7" t="s">
        <v>69</v>
      </c>
    </row>
    <row r="6" spans="1:17" x14ac:dyDescent="0.3">
      <c r="A6" s="16" t="s">
        <v>20</v>
      </c>
      <c r="B6" s="9">
        <f>('2025'!S6 - '2024'!S6) / '2024'!S6</f>
        <v>-1.7649418371440032E-2</v>
      </c>
      <c r="C6" s="9">
        <f>('2025'!T6 - '2024'!T6) / '2024'!T6</f>
        <v>0.13189332689755037</v>
      </c>
      <c r="D6" s="9">
        <f>('2025'!E6 - '2024'!E6) / '2024'!E6</f>
        <v>9.3485259234157833E-2</v>
      </c>
      <c r="E6" s="9">
        <f>'2025'!I6 - '2024'!I6</f>
        <v>-3.0000000000007798E-4</v>
      </c>
      <c r="F6" s="9">
        <f>'2025'!J6-'2024'!J6</f>
        <v>-1.7000000000000348E-3</v>
      </c>
      <c r="G6" s="9">
        <f>'2025'!K6-'2024'!K6</f>
        <v>2.0000000000000018E-3</v>
      </c>
      <c r="H6" s="9">
        <f>'2025'!L6-'2024'!L6</f>
        <v>0</v>
      </c>
      <c r="I6" s="9" t="str">
        <f t="shared" si="2"/>
        <v>Fundamentally Strong</v>
      </c>
      <c r="J6" s="9">
        <f t="shared" si="0"/>
        <v>6.9243055920089391E-2</v>
      </c>
      <c r="K6" s="7" t="str">
        <f>IF('2025'!N6&gt;'2025'!R6,"Overvalued","Undervalued")</f>
        <v>Undervalued</v>
      </c>
      <c r="L6" s="7" t="str">
        <f t="shared" si="1"/>
        <v>Weak</v>
      </c>
      <c r="M6" s="17" t="str">
        <f t="shared" si="3"/>
        <v>▲ Bullish</v>
      </c>
      <c r="N6" s="7" t="str">
        <f t="shared" si="4"/>
        <v>Low Interest</v>
      </c>
      <c r="O6" s="7" t="str">
        <f>IF(AND(J6&gt;0.2,'2025'!P6&gt;0.15,'2025'!Q6&lt;1.2),"Strong Buy",
 IF('NIFTY 50 Smart Analysis'!J6&gt;0.1,"Buy","Avoid"))</f>
        <v>Avoid</v>
      </c>
      <c r="P6" s="18" t="str">
        <f t="shared" si="5"/>
        <v>🟡HOLD</v>
      </c>
      <c r="Q6" s="7" t="s">
        <v>70</v>
      </c>
    </row>
    <row r="7" spans="1:17" x14ac:dyDescent="0.3">
      <c r="A7" s="16" t="s">
        <v>21</v>
      </c>
      <c r="B7" s="9">
        <f>('2025'!S7 - '2024'!S7) / '2024'!S7</f>
        <v>0.16683450822423632</v>
      </c>
      <c r="C7" s="9">
        <f>('2025'!T7 - '2024'!T7) / '2024'!T7</f>
        <v>0.1565717341890627</v>
      </c>
      <c r="D7" s="9">
        <f>('2025'!E7 - '2024'!E7) / '2024'!E7</f>
        <v>9.2152435371641833E-2</v>
      </c>
      <c r="E7" s="9">
        <f>'2025'!I7 - '2024'!I7</f>
        <v>-4.500000000000004E-3</v>
      </c>
      <c r="F7" s="9">
        <f>'2025'!J7-'2024'!J7</f>
        <v>-2.289999999999999E-2</v>
      </c>
      <c r="G7" s="9">
        <f>'2025'!K7-'2024'!K7</f>
        <v>2.7100000000000013E-2</v>
      </c>
      <c r="H7" s="9">
        <f>'2025'!L7-'2024'!L7</f>
        <v>2.9999999999996696E-4</v>
      </c>
      <c r="I7" s="9" t="str">
        <f t="shared" si="2"/>
        <v>Fundamentally Strong</v>
      </c>
      <c r="J7" s="9">
        <f t="shared" si="0"/>
        <v>0.13851955926164694</v>
      </c>
      <c r="K7" s="7" t="str">
        <f>IF('2025'!N7&gt;'2025'!R7,"Overvalued","Undervalued")</f>
        <v>Overvalued</v>
      </c>
      <c r="L7" s="7" t="str">
        <f t="shared" si="1"/>
        <v>Strong</v>
      </c>
      <c r="M7" s="17" t="str">
        <f t="shared" si="3"/>
        <v>▲ Bullish</v>
      </c>
      <c r="N7" s="7" t="str">
        <f t="shared" si="4"/>
        <v>Low Interest</v>
      </c>
      <c r="O7" s="7" t="str">
        <f>IF(AND(J7&gt;0.2,'2025'!P7&gt;0.15,'2025'!Q7&lt;1.2),"Strong Buy",
 IF('NIFTY 50 Smart Analysis'!J7&gt;0.1,"Buy","Avoid"))</f>
        <v>Buy</v>
      </c>
      <c r="P7" s="18" t="str">
        <f t="shared" si="5"/>
        <v>🟡HOLD</v>
      </c>
      <c r="Q7" s="7" t="s">
        <v>71</v>
      </c>
    </row>
    <row r="8" spans="1:17" x14ac:dyDescent="0.3">
      <c r="A8" s="16" t="s">
        <v>22</v>
      </c>
      <c r="B8" s="9">
        <f>('2025'!S8 - '2024'!S8) / '2024'!S8</f>
        <v>6.2780840109880109E-2</v>
      </c>
      <c r="C8" s="9">
        <f>('2025'!T8 - '2024'!T8) / '2024'!T8</f>
        <v>-6.9891356999515607E-3</v>
      </c>
      <c r="D8" s="9">
        <f>('2025'!E8 - '2024'!E8) / '2024'!E8</f>
        <v>8.0239099859353027E-2</v>
      </c>
      <c r="E8" s="9">
        <f>'2025'!I8 - '2024'!I8</f>
        <v>-2.6400000000000007E-2</v>
      </c>
      <c r="F8" s="9">
        <f>'2025'!J8-'2024'!J8</f>
        <v>-1.799999999999996E-3</v>
      </c>
      <c r="G8" s="9">
        <f>'2025'!K8-'2024'!K8</f>
        <v>2.8300000000000006E-2</v>
      </c>
      <c r="H8" s="9">
        <f>'2025'!L8-'2024'!L8</f>
        <v>-9.9999999999988987E-5</v>
      </c>
      <c r="I8" s="9" t="str">
        <f t="shared" si="2"/>
        <v>Overhyped</v>
      </c>
      <c r="J8" s="9">
        <f t="shared" si="0"/>
        <v>4.5343601423093856E-2</v>
      </c>
      <c r="K8" s="7" t="str">
        <f>IF('2025'!N8&gt;'2025'!R8,"Overvalued","Undervalued")</f>
        <v>Overvalued</v>
      </c>
      <c r="L8" s="7" t="str">
        <f t="shared" si="1"/>
        <v>Weak</v>
      </c>
      <c r="M8" s="17" t="str">
        <f t="shared" si="3"/>
        <v>▲ Bullish</v>
      </c>
      <c r="N8" s="7" t="str">
        <f t="shared" si="4"/>
        <v>Low Interest</v>
      </c>
      <c r="O8" s="7" t="str">
        <f>IF(AND(J8&gt;0.2,'2025'!P8&gt;0.15,'2025'!Q8&lt;1.2),"Strong Buy",
 IF('NIFTY 50 Smart Analysis'!J8&gt;0.1,"Buy","Avoid"))</f>
        <v>Avoid</v>
      </c>
      <c r="P8" s="18" t="str">
        <f t="shared" si="5"/>
        <v>🟡HOLD</v>
      </c>
      <c r="Q8" s="7" t="s">
        <v>72</v>
      </c>
    </row>
    <row r="9" spans="1:17" x14ac:dyDescent="0.3">
      <c r="A9" s="16" t="s">
        <v>23</v>
      </c>
      <c r="B9" s="9">
        <f>('2025'!S9 - '2024'!S9) / '2024'!S9</f>
        <v>7.4893778933350239E-2</v>
      </c>
      <c r="C9" s="9">
        <f>('2025'!T9 - '2024'!T9) / '2024'!T9</f>
        <v>0.13892979872361316</v>
      </c>
      <c r="D9" s="9">
        <f>('2025'!E9 - '2024'!E9) / '2024'!E9</f>
        <v>8.3524355300859596E-2</v>
      </c>
      <c r="E9" s="9">
        <f>'2025'!I9 - '2024'!I9</f>
        <v>0.19750000000000001</v>
      </c>
      <c r="F9" s="9">
        <f>'2025'!J9-'2024'!J9</f>
        <v>-1.3999999999999985E-3</v>
      </c>
      <c r="G9" s="9">
        <f>'2025'!K9-'2024'!K9</f>
        <v>-9.7000000000000003E-2</v>
      </c>
      <c r="H9" s="9">
        <f>'2025'!L9-'2024'!L9</f>
        <v>9.000000000000119E-4</v>
      </c>
      <c r="I9" s="9" t="str">
        <f t="shared" si="2"/>
        <v>Fundamentally Strong</v>
      </c>
      <c r="J9" s="9">
        <f t="shared" si="0"/>
        <v>9.911597765260767E-2</v>
      </c>
      <c r="K9" s="7" t="str">
        <f>IF('2025'!N9&gt;'2025'!R9,"Overvalued","Undervalued")</f>
        <v>Overvalued</v>
      </c>
      <c r="L9" s="7" t="str">
        <f t="shared" si="1"/>
        <v>Weak</v>
      </c>
      <c r="M9" s="17" t="str">
        <f t="shared" si="3"/>
        <v>▲ Bullish</v>
      </c>
      <c r="N9" s="7" t="str">
        <f t="shared" si="4"/>
        <v>High Interest</v>
      </c>
      <c r="O9" s="7" t="str">
        <f>IF(AND(J9&gt;0.2,'2025'!P9&gt;0.15,'2025'!Q9&lt;1.2),"Strong Buy",
 IF('NIFTY 50 Smart Analysis'!J9&gt;0.1,"Buy","Avoid"))</f>
        <v>Avoid</v>
      </c>
      <c r="P9" s="19" t="str">
        <f t="shared" ref="P9:P49" si="6">IF(D10&gt;0.1,"🟢BUY",
 IF(D10&gt;0,"🟡HOLD",
 "🔴SELL"))</f>
        <v>🟢BUY</v>
      </c>
      <c r="Q9" s="7" t="s">
        <v>72</v>
      </c>
    </row>
    <row r="10" spans="1:17" x14ac:dyDescent="0.3">
      <c r="A10" s="16" t="s">
        <v>24</v>
      </c>
      <c r="B10" s="9">
        <f>('2025'!S10 - '2024'!S10) / '2024'!S10</f>
        <v>0.1171098440890055</v>
      </c>
      <c r="C10" s="9">
        <f>('2025'!T10 - '2024'!T10) / '2024'!T10</f>
        <v>6.4676616915422883E-2</v>
      </c>
      <c r="D10" s="9">
        <f>('2025'!E10 - '2024'!E10) / '2024'!E10</f>
        <v>0.29607046070460719</v>
      </c>
      <c r="E10" s="9">
        <f>'2025'!I10 - '2024'!I10</f>
        <v>4.1999999999999815E-3</v>
      </c>
      <c r="F10" s="9">
        <f>'2025'!J10-'2024'!J10</f>
        <v>1.6999999999999793E-3</v>
      </c>
      <c r="G10" s="9">
        <f>'2025'!K10-'2024'!K10</f>
        <v>-6.0000000000000053E-3</v>
      </c>
      <c r="H10" s="9">
        <f>'2025'!L10-'2024'!L10</f>
        <v>9.9999999999988987E-5</v>
      </c>
      <c r="I10" s="9" t="str">
        <f t="shared" si="2"/>
        <v>Overhyped</v>
      </c>
      <c r="J10" s="9">
        <f t="shared" si="0"/>
        <v>0.15928564056967853</v>
      </c>
      <c r="K10" s="7" t="str">
        <f>IF('2025'!N10&gt;'2025'!R10,"Overvalued","Undervalued")</f>
        <v>Overvalued</v>
      </c>
      <c r="L10" s="7" t="str">
        <f t="shared" si="1"/>
        <v>Weak</v>
      </c>
      <c r="M10" s="17" t="str">
        <f t="shared" si="3"/>
        <v>▲ Bullish</v>
      </c>
      <c r="N10" s="7" t="str">
        <f t="shared" si="4"/>
        <v>High Interest</v>
      </c>
      <c r="O10" s="7" t="str">
        <f>IF(AND(J10&gt;0.2,'2025'!P10&gt;0.15,'2025'!Q10&lt;1.2),"Strong Buy",
 IF('NIFTY 50 Smart Analysis'!J10&gt;0.1,"Buy","Avoid"))</f>
        <v>Buy</v>
      </c>
      <c r="P10" s="18" t="str">
        <f t="shared" si="6"/>
        <v>🟡HOLD</v>
      </c>
      <c r="Q10" s="7" t="s">
        <v>73</v>
      </c>
    </row>
    <row r="11" spans="1:17" x14ac:dyDescent="0.3">
      <c r="A11" s="16" t="s">
        <v>25</v>
      </c>
      <c r="B11" s="9">
        <f>('2025'!S11 - '2024'!S11) / '2024'!S11</f>
        <v>9.5131415769892383E-2</v>
      </c>
      <c r="C11" s="9">
        <f>('2025'!T11 - '2024'!T11) / '2024'!T11</f>
        <v>0.6713539574126155</v>
      </c>
      <c r="D11" s="9">
        <f>('2025'!E11 - '2024'!E11) / '2024'!E11</f>
        <v>8.9730930634411163E-2</v>
      </c>
      <c r="E11" s="9">
        <f>'2025'!I11 - '2024'!I11</f>
        <v>6.0000000000000053E-3</v>
      </c>
      <c r="F11" s="9">
        <f>'2025'!J11-'2024'!J11</f>
        <v>1.949999999999999E-2</v>
      </c>
      <c r="G11" s="9">
        <f>'2025'!K11-'2024'!K11</f>
        <v>-6.9999999999999993E-3</v>
      </c>
      <c r="H11" s="9">
        <f>'2025'!L11-'2024'!L11</f>
        <v>-1.849999999999985E-2</v>
      </c>
      <c r="I11" s="9" t="str">
        <f t="shared" si="2"/>
        <v>Fundamentally Strong</v>
      </c>
      <c r="J11" s="9">
        <f t="shared" si="0"/>
        <v>0.28540543460563966</v>
      </c>
      <c r="K11" s="7" t="str">
        <f>IF('2025'!N11&gt;'2025'!R11,"Overvalued","Undervalued")</f>
        <v>Overvalued</v>
      </c>
      <c r="L11" s="7" t="str">
        <f t="shared" si="1"/>
        <v>Weak</v>
      </c>
      <c r="M11" s="17" t="str">
        <f t="shared" si="3"/>
        <v>▲ Bullish</v>
      </c>
      <c r="N11" s="7" t="str">
        <f t="shared" si="4"/>
        <v>High Interest</v>
      </c>
      <c r="O11" s="7" t="str">
        <f>IF(AND(J11&gt;0.2,'2025'!P11&gt;0.15,'2025'!Q11&lt;1.2),"Strong Buy",
 IF('NIFTY 50 Smart Analysis'!J11&gt;0.1,"Buy","Avoid"))</f>
        <v>Strong Buy</v>
      </c>
      <c r="P11" s="19" t="str">
        <f t="shared" si="6"/>
        <v>🟢BUY</v>
      </c>
      <c r="Q11" s="7" t="s">
        <v>74</v>
      </c>
    </row>
    <row r="12" spans="1:17" x14ac:dyDescent="0.3">
      <c r="A12" s="16" t="s">
        <v>26</v>
      </c>
      <c r="B12" s="9">
        <f>('2025'!S12 - '2024'!S12) / '2024'!S12</f>
        <v>9.1797935904399788E-2</v>
      </c>
      <c r="C12" s="9">
        <f>('2025'!T12 - '2024'!T12) / '2024'!T12</f>
        <v>9.3901258470474341E-2</v>
      </c>
      <c r="D12" s="9">
        <f>('2025'!E12 - '2024'!E12) / '2024'!E12</f>
        <v>0.12033359809372515</v>
      </c>
      <c r="E12" s="9">
        <f>'2025'!I12 - '2024'!I12</f>
        <v>3.3000000000000251E-3</v>
      </c>
      <c r="F12" s="9">
        <f>'2025'!J12-'2024'!J12</f>
        <v>-5.0000000000000044E-4</v>
      </c>
      <c r="G12" s="9">
        <f>'2025'!K12-'2024'!K12</f>
        <v>-4.699999999999982E-3</v>
      </c>
      <c r="H12" s="9">
        <f>'2025'!L12-'2024'!L12</f>
        <v>1.9000000000000683E-3</v>
      </c>
      <c r="I12" s="9" t="str">
        <f t="shared" si="2"/>
        <v>Overhyped</v>
      </c>
      <c r="J12" s="9">
        <f t="shared" si="0"/>
        <v>0.10201093082286643</v>
      </c>
      <c r="K12" s="7" t="str">
        <f>IF('2025'!N12&gt;'2025'!R12,"Overvalued","Undervalued")</f>
        <v>Undervalued</v>
      </c>
      <c r="L12" s="7" t="str">
        <f t="shared" si="1"/>
        <v>Weak</v>
      </c>
      <c r="M12" s="17" t="str">
        <f t="shared" si="3"/>
        <v>▲ Bullish</v>
      </c>
      <c r="N12" s="7" t="str">
        <f t="shared" si="4"/>
        <v>High Interest</v>
      </c>
      <c r="O12" s="7" t="str">
        <f>IF(AND(J12&gt;0.2,'2025'!P12&gt;0.15,'2025'!Q12&lt;1.2),"Strong Buy",
 IF('NIFTY 50 Smart Analysis'!J12&gt;0.1,"Buy","Avoid"))</f>
        <v>Buy</v>
      </c>
      <c r="P12" s="18" t="str">
        <f t="shared" si="6"/>
        <v>🟡HOLD</v>
      </c>
      <c r="Q12" s="7" t="s">
        <v>75</v>
      </c>
    </row>
    <row r="13" spans="1:17" x14ac:dyDescent="0.3">
      <c r="A13" s="16" t="s">
        <v>27</v>
      </c>
      <c r="B13" s="9">
        <f>('2025'!S13 - '2024'!S13) / '2024'!S13</f>
        <v>4.444787948624266E-2</v>
      </c>
      <c r="C13" s="9">
        <f>('2025'!T13 - '2024'!T13) / '2024'!T13</f>
        <v>-8.3464904064866605E-2</v>
      </c>
      <c r="D13" s="9">
        <f>('2025'!E13 - '2024'!E13) / '2024'!E13</f>
        <v>9.7651421508034575E-2</v>
      </c>
      <c r="E13" s="9">
        <f>'2025'!I13 - '2024'!I13</f>
        <v>-1.6999999999999932E-3</v>
      </c>
      <c r="F13" s="9">
        <f>'2025'!J13-'2024'!J13</f>
        <v>-9.5000000000000362E-3</v>
      </c>
      <c r="G13" s="9">
        <f>'2025'!K13-'2024'!K13</f>
        <v>1.1500000000000003E-2</v>
      </c>
      <c r="H13" s="9">
        <f>'2025'!L13-'2024'!L13</f>
        <v>-2.9999999999996696E-4</v>
      </c>
      <c r="I13" s="9" t="str">
        <f t="shared" si="2"/>
        <v>Overhyped</v>
      </c>
      <c r="J13" s="9">
        <f t="shared" si="0"/>
        <v>1.9544798976470209E-2</v>
      </c>
      <c r="K13" s="7" t="str">
        <f>IF('2025'!N13&gt;'2025'!R13,"Overvalued","Undervalued")</f>
        <v>Undervalued</v>
      </c>
      <c r="L13" s="7" t="str">
        <f t="shared" si="1"/>
        <v>Weak</v>
      </c>
      <c r="M13" s="17" t="str">
        <f t="shared" si="3"/>
        <v>▲ Bullish</v>
      </c>
      <c r="N13" s="7" t="str">
        <f t="shared" si="4"/>
        <v>Low Interest</v>
      </c>
      <c r="O13" s="7" t="str">
        <f>IF(AND(J13&gt;0.2,'2025'!P13&gt;0.15,'2025'!Q13&lt;1.2),"Strong Buy",
 IF('NIFTY 50 Smart Analysis'!J13&gt;0.1,"Buy","Avoid"))</f>
        <v>Avoid</v>
      </c>
      <c r="P13" s="18" t="str">
        <f t="shared" si="6"/>
        <v>🟡HOLD</v>
      </c>
      <c r="Q13" s="7" t="s">
        <v>76</v>
      </c>
    </row>
    <row r="14" spans="1:17" x14ac:dyDescent="0.3">
      <c r="A14" s="16" t="s">
        <v>28</v>
      </c>
      <c r="B14" s="9">
        <f>('2025'!S14 - '2024'!S14) / '2024'!S14</f>
        <v>8.3249749247743227E-2</v>
      </c>
      <c r="C14" s="9">
        <f>('2025'!T14 - '2024'!T14) / '2024'!T14</f>
        <v>9.9137931034482762E-2</v>
      </c>
      <c r="D14" s="9">
        <f>('2025'!E14 - '2024'!E14) / '2024'!E14</f>
        <v>7.959940067817993E-2</v>
      </c>
      <c r="E14" s="9">
        <f>'2025'!I14 - '2024'!I14</f>
        <v>-7.2000000000000397E-3</v>
      </c>
      <c r="F14" s="9">
        <f>'2025'!J14-'2024'!J14</f>
        <v>1.5999999999999903E-3</v>
      </c>
      <c r="G14" s="9">
        <f>'2025'!K14-'2024'!K14</f>
        <v>5.0999999999999934E-3</v>
      </c>
      <c r="H14" s="9">
        <f>'2025'!L14-'2024'!L14</f>
        <v>5.0000000000005596E-4</v>
      </c>
      <c r="I14" s="9" t="str">
        <f t="shared" si="2"/>
        <v>Fundamentally Strong</v>
      </c>
      <c r="J14" s="9">
        <f t="shared" si="0"/>
        <v>8.7329026986801964E-2</v>
      </c>
      <c r="K14" s="7" t="str">
        <f>IF('2025'!N14&gt;'2025'!R14,"Overvalued","Undervalued")</f>
        <v>Undervalued</v>
      </c>
      <c r="L14" s="7" t="str">
        <f t="shared" si="1"/>
        <v>Weak</v>
      </c>
      <c r="M14" s="17" t="str">
        <f t="shared" si="3"/>
        <v>▲ Bullish</v>
      </c>
      <c r="N14" s="7" t="str">
        <f t="shared" si="4"/>
        <v>Low Interest</v>
      </c>
      <c r="O14" s="7" t="str">
        <f>IF(AND(J14&gt;0.2,'2025'!P14&gt;0.15,'2025'!Q14&lt;1.2),"Strong Buy",
 IF('NIFTY 50 Smart Analysis'!J14&gt;0.1,"Buy","Avoid"))</f>
        <v>Avoid</v>
      </c>
      <c r="P14" s="18" t="str">
        <f t="shared" si="6"/>
        <v>🟡HOLD</v>
      </c>
      <c r="Q14" s="7" t="s">
        <v>75</v>
      </c>
    </row>
    <row r="15" spans="1:17" x14ac:dyDescent="0.3">
      <c r="A15" s="16" t="s">
        <v>29</v>
      </c>
      <c r="B15" s="9">
        <f>('2025'!S15 - '2024'!S15) / '2024'!S15</f>
        <v>5.5273343009192066E-2</v>
      </c>
      <c r="C15" s="9">
        <f>('2025'!T15 - '2024'!T15) / '2024'!T15</f>
        <v>2.9742564358910272E-2</v>
      </c>
      <c r="D15" s="9">
        <f>('2025'!E15 - '2024'!E15) / '2024'!E15</f>
        <v>2.7310572779381655E-2</v>
      </c>
      <c r="E15" s="9">
        <f>'2025'!I15 - '2024'!I15</f>
        <v>0</v>
      </c>
      <c r="F15" s="9">
        <f>'2025'!J15-'2024'!J15</f>
        <v>-5.0000000000000044E-4</v>
      </c>
      <c r="G15" s="9">
        <f>'2025'!K15-'2024'!K15</f>
        <v>0</v>
      </c>
      <c r="H15" s="9">
        <f>'2025'!L15-'2024'!L15</f>
        <v>5.0000000000005596E-4</v>
      </c>
      <c r="I15" s="9" t="str">
        <f t="shared" si="2"/>
        <v>Fundamentally Strong</v>
      </c>
      <c r="J15" s="9">
        <f t="shared" si="0"/>
        <v>3.7442160049161337E-2</v>
      </c>
      <c r="K15" s="7" t="str">
        <f>IF('2025'!N15&gt;'2025'!R15,"Overvalued","Undervalued")</f>
        <v>Undervalued</v>
      </c>
      <c r="L15" s="7" t="str">
        <f t="shared" si="1"/>
        <v>Weak</v>
      </c>
      <c r="M15" s="17" t="str">
        <f t="shared" si="3"/>
        <v>▲ Bullish</v>
      </c>
      <c r="N15" s="7" t="str">
        <f t="shared" si="4"/>
        <v>Low Interest</v>
      </c>
      <c r="O15" s="7" t="str">
        <f>IF(AND(J15&gt;0.2,'2025'!P15&gt;0.15,'2025'!Q15&lt;1.2),"Strong Buy",
 IF('NIFTY 50 Smart Analysis'!J15&gt;0.1,"Buy","Avoid"))</f>
        <v>Avoid</v>
      </c>
      <c r="P15" s="19" t="str">
        <f t="shared" si="6"/>
        <v>🟢BUY</v>
      </c>
      <c r="Q15" s="7" t="s">
        <v>71</v>
      </c>
    </row>
    <row r="16" spans="1:17" x14ac:dyDescent="0.3">
      <c r="A16" s="16" t="s">
        <v>30</v>
      </c>
      <c r="B16" s="9">
        <f>('2025'!S16 - '2024'!S16) / '2024'!S16</f>
        <v>-8.7707283666780808E-2</v>
      </c>
      <c r="C16" s="9">
        <f>('2025'!T16 - '2024'!T16) / '2024'!T16</f>
        <v>1.1252371916508539</v>
      </c>
      <c r="D16" s="9">
        <f>('2025'!E16 - '2024'!E16) / '2024'!E16</f>
        <v>0.41291601288297958</v>
      </c>
      <c r="E16" s="9">
        <f>'2025'!I16 - '2024'!I16</f>
        <v>0.17860000000000004</v>
      </c>
      <c r="F16" s="9">
        <f>'2025'!J16-'2024'!J16</f>
        <v>-0.14510000000000001</v>
      </c>
      <c r="G16" s="9">
        <f>'2025'!K16-'2024'!K16</f>
        <v>-3.350000000000003E-2</v>
      </c>
      <c r="H16" s="9">
        <f>'2025'!L16-'2024'!L16</f>
        <v>0</v>
      </c>
      <c r="I16" s="9" t="str">
        <f t="shared" si="2"/>
        <v>Fundamentally Strong</v>
      </c>
      <c r="J16" s="9">
        <f t="shared" si="0"/>
        <v>0.48348197362235096</v>
      </c>
      <c r="K16" s="7" t="str">
        <f>IF('2025'!N16&gt;'2025'!R16,"Overvalued","Undervalued")</f>
        <v>Overvalued</v>
      </c>
      <c r="L16" s="7" t="str">
        <f t="shared" si="1"/>
        <v>Weak</v>
      </c>
      <c r="M16" s="17" t="str">
        <f t="shared" si="3"/>
        <v>▲ Bullish</v>
      </c>
      <c r="N16" s="7" t="str">
        <f t="shared" si="4"/>
        <v>High Interest</v>
      </c>
      <c r="O16" s="7" t="str">
        <f>IF(AND(J16&gt;0.2,'2025'!P16&gt;0.15,'2025'!Q16&lt;1.2),"Strong Buy",
 IF('NIFTY 50 Smart Analysis'!J16&gt;0.1,"Buy","Avoid"))</f>
        <v>Buy</v>
      </c>
      <c r="P16" s="18" t="str">
        <f t="shared" si="6"/>
        <v>🟡HOLD</v>
      </c>
      <c r="Q16" s="7" t="s">
        <v>77</v>
      </c>
    </row>
    <row r="17" spans="1:17" x14ac:dyDescent="0.3">
      <c r="A17" s="16" t="s">
        <v>31</v>
      </c>
      <c r="B17" s="9">
        <f>('2025'!S17 - '2024'!S17) / '2024'!S17</f>
        <v>5.513903098230237E-2</v>
      </c>
      <c r="C17" s="9">
        <f>('2025'!T17 - '2024'!T17) / '2024'!T17</f>
        <v>-0.30982367758186397</v>
      </c>
      <c r="D17" s="9">
        <f>('2025'!E17 - '2024'!E17) / '2024'!E17</f>
        <v>5.951662703623533E-2</v>
      </c>
      <c r="E17" s="9">
        <f>'2025'!I17 - '2024'!I17</f>
        <v>-4.3899999999999995E-2</v>
      </c>
      <c r="F17" s="9">
        <f>'2025'!J17-'2024'!J17</f>
        <v>2.7999999999999997E-2</v>
      </c>
      <c r="G17" s="9">
        <f>'2025'!K17-'2024'!K17</f>
        <v>1.9099999999999978E-2</v>
      </c>
      <c r="H17" s="9">
        <f>'2025'!L17-'2024'!L17</f>
        <v>-3.1999999999999806E-3</v>
      </c>
      <c r="I17" s="9" t="str">
        <f t="shared" si="2"/>
        <v>Overhyped</v>
      </c>
      <c r="J17" s="9">
        <f t="shared" si="0"/>
        <v>-6.5056006521108753E-2</v>
      </c>
      <c r="K17" s="7" t="str">
        <f>IF('2025'!N17&gt;'2025'!R17,"Overvalued","Undervalued")</f>
        <v>Overvalued</v>
      </c>
      <c r="L17" s="7" t="str">
        <f t="shared" si="1"/>
        <v>Weak</v>
      </c>
      <c r="M17" s="17" t="str">
        <f t="shared" si="3"/>
        <v>▲ Bullish</v>
      </c>
      <c r="N17" s="7" t="str">
        <f t="shared" si="4"/>
        <v>Low Interest</v>
      </c>
      <c r="O17" s="7" t="str">
        <f>IF(AND(J17&gt;0.2,'2025'!P17&gt;0.15,'2025'!Q17&lt;1.2),"Strong Buy",
 IF('NIFTY 50 Smart Analysis'!J17&gt;0.1,"Buy","Avoid"))</f>
        <v>Avoid</v>
      </c>
      <c r="P17" s="19" t="str">
        <f t="shared" si="6"/>
        <v>🟢BUY</v>
      </c>
      <c r="Q17" s="7" t="s">
        <v>78</v>
      </c>
    </row>
    <row r="18" spans="1:17" x14ac:dyDescent="0.3">
      <c r="A18" s="16" t="s">
        <v>32</v>
      </c>
      <c r="B18" s="9">
        <f>('2025'!S18 - '2024'!S18) / '2024'!S18</f>
        <v>7.5850900257476372E-2</v>
      </c>
      <c r="C18" s="9">
        <f>('2025'!T18 - '2024'!T18) / '2024'!T18</f>
        <v>0.20685263023818623</v>
      </c>
      <c r="D18" s="9">
        <f>('2025'!E18 - '2024'!E18) / '2024'!E18</f>
        <v>0.17451490771415049</v>
      </c>
      <c r="E18" s="9">
        <f>'2025'!I18 - '2024'!I18</f>
        <v>1.1499999999999982E-2</v>
      </c>
      <c r="F18" s="9">
        <f>'2025'!J18-'2024'!J18</f>
        <v>3.7999999999999978E-3</v>
      </c>
      <c r="G18" s="9">
        <f>'2025'!K18-'2024'!K18</f>
        <v>-1.4200000000000004E-2</v>
      </c>
      <c r="H18" s="9">
        <f>'2025'!L18-'2024'!L18</f>
        <v>-1.0999999999999899E-3</v>
      </c>
      <c r="I18" s="9" t="str">
        <f t="shared" si="2"/>
        <v>Fundamentally Strong</v>
      </c>
      <c r="J18" s="9">
        <f t="shared" si="0"/>
        <v>0.15240614606993771</v>
      </c>
      <c r="K18" s="7" t="str">
        <f>IF('2025'!N18&gt;'2025'!R18,"Overvalued","Undervalued")</f>
        <v>Undervalued</v>
      </c>
      <c r="L18" s="7" t="str">
        <f t="shared" si="1"/>
        <v>Weak</v>
      </c>
      <c r="M18" s="17" t="str">
        <f t="shared" si="3"/>
        <v>▲ Bullish</v>
      </c>
      <c r="N18" s="7" t="str">
        <f t="shared" si="4"/>
        <v>High Interest</v>
      </c>
      <c r="O18" s="7" t="str">
        <f>IF(AND(J18&gt;0.2,'2025'!P18&gt;0.15,'2025'!Q18&lt;1.2),"Strong Buy",
 IF('NIFTY 50 Smart Analysis'!J18&gt;0.1,"Buy","Avoid"))</f>
        <v>Buy</v>
      </c>
      <c r="P18" s="18" t="str">
        <f t="shared" si="6"/>
        <v>🟡HOLD</v>
      </c>
      <c r="Q18" s="7" t="s">
        <v>79</v>
      </c>
    </row>
    <row r="19" spans="1:17" x14ac:dyDescent="0.3">
      <c r="A19" s="16" t="s">
        <v>33</v>
      </c>
      <c r="B19" s="9">
        <f>('2025'!S19 - '2024'!S19) / '2024'!S19</f>
        <v>3.4511150430075505E-3</v>
      </c>
      <c r="C19" s="9">
        <f>('2025'!T19 - '2024'!T19) / '2024'!T19</f>
        <v>2.9659694036840464E-3</v>
      </c>
      <c r="D19" s="9">
        <f>('2025'!E19 - '2024'!E19) / '2024'!E19</f>
        <v>5.4146675805346101E-2</v>
      </c>
      <c r="E19" s="9">
        <f>'2025'!I19 - '2024'!I19</f>
        <v>-4.300000000000026E-3</v>
      </c>
      <c r="F19" s="9">
        <f>'2025'!J19-'2024'!J19</f>
        <v>-4.3199999999999961E-2</v>
      </c>
      <c r="G19" s="9">
        <f>'2025'!K19-'2024'!K19</f>
        <v>4.7499999999999987E-2</v>
      </c>
      <c r="H19" s="9">
        <f>'2025'!L19-'2024'!L19</f>
        <v>0</v>
      </c>
      <c r="I19" s="9" t="str">
        <f t="shared" si="2"/>
        <v>Overhyped</v>
      </c>
      <c r="J19" s="9">
        <f t="shared" si="0"/>
        <v>2.0187920084012566E-2</v>
      </c>
      <c r="K19" s="7" t="str">
        <f>IF('2025'!N19&gt;'2025'!R19,"Overvalued","Undervalued")</f>
        <v>Overvalued</v>
      </c>
      <c r="L19" s="7" t="str">
        <f t="shared" si="1"/>
        <v>Weak</v>
      </c>
      <c r="M19" s="17" t="str">
        <f t="shared" si="3"/>
        <v>▲ Bullish</v>
      </c>
      <c r="N19" s="7" t="str">
        <f t="shared" si="4"/>
        <v>Low Interest</v>
      </c>
      <c r="O19" s="7" t="str">
        <f>IF(AND(J19&gt;0.2,'2025'!P19&gt;0.15,'2025'!Q19&lt;1.2),"Strong Buy",
 IF('NIFTY 50 Smart Analysis'!J19&gt;0.1,"Buy","Avoid"))</f>
        <v>Avoid</v>
      </c>
      <c r="P19" s="19" t="str">
        <f t="shared" si="6"/>
        <v>🟢BUY</v>
      </c>
      <c r="Q19" s="7" t="s">
        <v>70</v>
      </c>
    </row>
    <row r="20" spans="1:17" x14ac:dyDescent="0.3">
      <c r="A20" s="16" t="s">
        <v>34</v>
      </c>
      <c r="B20" s="9">
        <f>('2025'!S20 - '2024'!S20) / '2024'!S20</f>
        <v>0.4782539174928046</v>
      </c>
      <c r="C20" s="9">
        <f>('2025'!T20 - '2024'!T20) / '2024'!T20</f>
        <v>0.30656469088591459</v>
      </c>
      <c r="D20" s="9">
        <f>('2025'!E20 - '2024'!E20) / '2024'!E20</f>
        <v>0.10786438308283813</v>
      </c>
      <c r="E20" s="9">
        <f>'2025'!I20 - '2024'!I20</f>
        <v>3.9500000000000035E-2</v>
      </c>
      <c r="F20" s="9">
        <f>'2025'!J20-'2024'!J20</f>
        <v>-0.11299999999999999</v>
      </c>
      <c r="G20" s="9">
        <f>'2025'!K20-'2024'!K20</f>
        <v>7.3099999999999984E-2</v>
      </c>
      <c r="H20" s="9">
        <f>'2025'!L20-'2024'!L20</f>
        <v>3.9999999999995595E-4</v>
      </c>
      <c r="I20" s="9" t="str">
        <f t="shared" si="2"/>
        <v>Fundamentally Strong</v>
      </c>
      <c r="J20" s="9">
        <f t="shared" si="0"/>
        <v>0.29756099715385242</v>
      </c>
      <c r="K20" s="7" t="str">
        <f>IF('2025'!N20&gt;'2025'!R20,"Overvalued","Undervalued")</f>
        <v>Overvalued</v>
      </c>
      <c r="L20" s="7" t="str">
        <f t="shared" si="1"/>
        <v>Strong</v>
      </c>
      <c r="M20" s="17" t="str">
        <f t="shared" si="3"/>
        <v>▲ Bullish</v>
      </c>
      <c r="N20" s="7" t="str">
        <f t="shared" si="4"/>
        <v>High Interest</v>
      </c>
      <c r="O20" s="7" t="str">
        <f>IF(AND(J20&gt;0.2,'2025'!P20&gt;0.15,'2025'!Q20&lt;1.2),"Strong Buy",
 IF('NIFTY 50 Smart Analysis'!J20&gt;0.1,"Buy","Avoid"))</f>
        <v>Buy</v>
      </c>
      <c r="P20" s="18" t="str">
        <f t="shared" si="6"/>
        <v>🟡HOLD</v>
      </c>
      <c r="Q20" s="7" t="s">
        <v>80</v>
      </c>
    </row>
    <row r="21" spans="1:17" x14ac:dyDescent="0.3">
      <c r="A21" s="16" t="s">
        <v>35</v>
      </c>
      <c r="B21" s="9">
        <f>('2025'!S21 - '2024'!S21) / '2024'!S21</f>
        <v>5.7593465517081707E-2</v>
      </c>
      <c r="C21" s="9">
        <f>('2025'!T21 - '2024'!T21) / '2024'!T21</f>
        <v>9.7981290004923685E-2</v>
      </c>
      <c r="D21" s="9">
        <f>('2025'!E21 - '2024'!E21) / '2024'!E21</f>
        <v>6.7874604544147316E-2</v>
      </c>
      <c r="E21" s="9">
        <f>'2025'!I21 - '2024'!I21</f>
        <v>1.2000000000000011E-2</v>
      </c>
      <c r="F21" s="9">
        <f>'2025'!J21-'2024'!J21</f>
        <v>-9.5000000000000084E-3</v>
      </c>
      <c r="G21" s="9">
        <f>'2025'!K21-'2024'!K21</f>
        <v>-4.0999999999999925E-3</v>
      </c>
      <c r="H21" s="9">
        <f>'2025'!L21-'2024'!L21</f>
        <v>1.5999999999999903E-3</v>
      </c>
      <c r="I21" s="9" t="str">
        <f t="shared" si="2"/>
        <v>Fundamentally Strong</v>
      </c>
      <c r="J21" s="9">
        <f t="shared" si="0"/>
        <v>7.4483120022050903E-2</v>
      </c>
      <c r="K21" s="7" t="str">
        <f>IF('2025'!N21&gt;'2025'!R21,"Overvalued","Undervalued")</f>
        <v>Undervalued</v>
      </c>
      <c r="L21" s="7" t="str">
        <f t="shared" si="1"/>
        <v>Weak</v>
      </c>
      <c r="M21" s="17" t="str">
        <f t="shared" si="3"/>
        <v>▲ Bullish</v>
      </c>
      <c r="N21" s="7" t="str">
        <f t="shared" si="4"/>
        <v>High Interest</v>
      </c>
      <c r="O21" s="7" t="str">
        <f>IF(AND(J21&gt;0.2,'2025'!P21&gt;0.15,'2025'!Q21&lt;1.2),"Strong Buy",
 IF('NIFTY 50 Smart Analysis'!J21&gt;0.1,"Buy","Avoid"))</f>
        <v>Avoid</v>
      </c>
      <c r="P21" s="18" t="str">
        <f t="shared" si="6"/>
        <v>🟡HOLD</v>
      </c>
      <c r="Q21" s="7" t="s">
        <v>81</v>
      </c>
    </row>
    <row r="22" spans="1:17" x14ac:dyDescent="0.3">
      <c r="A22" s="16" t="s">
        <v>36</v>
      </c>
      <c r="B22" s="9">
        <f>('2025'!S22 - '2024'!S22) / '2024'!S22</f>
        <v>4.6917409848778596E-2</v>
      </c>
      <c r="C22" s="9">
        <f>('2025'!T22 - '2024'!T22) / '2024'!T22</f>
        <v>0.11133082855447894</v>
      </c>
      <c r="D22" s="9">
        <f>('2025'!E22 - '2024'!E22) / '2024'!E22</f>
        <v>3.1910367323783863E-2</v>
      </c>
      <c r="E22" s="9">
        <f>'2025'!I22 - '2024'!I22</f>
        <v>-5.0000000000000044E-4</v>
      </c>
      <c r="F22" s="9">
        <f>'2025'!J22-'2024'!J22</f>
        <v>7.8000000000000014E-3</v>
      </c>
      <c r="G22" s="9">
        <f>'2025'!K22-'2024'!K22</f>
        <v>-7.2999999999999871E-3</v>
      </c>
      <c r="H22" s="9">
        <f>'2025'!L22-'2024'!L22</f>
        <v>0</v>
      </c>
      <c r="I22" s="9" t="str">
        <f t="shared" si="2"/>
        <v>Fundamentally Strong</v>
      </c>
      <c r="J22" s="9">
        <f t="shared" si="0"/>
        <v>6.3386201909013798E-2</v>
      </c>
      <c r="K22" s="7" t="str">
        <f>IF('2025'!N22&gt;'2025'!R22,"Overvalued","Undervalued")</f>
        <v>Overvalued</v>
      </c>
      <c r="L22" s="7" t="str">
        <f t="shared" si="1"/>
        <v>Weak</v>
      </c>
      <c r="M22" s="17" t="str">
        <f t="shared" si="3"/>
        <v>▲ Bullish</v>
      </c>
      <c r="N22" s="7" t="str">
        <f t="shared" si="4"/>
        <v>Low Interest</v>
      </c>
      <c r="O22" s="7" t="str">
        <f>IF(AND(J22&gt;0.2,'2025'!P22&gt;0.15,'2025'!Q22&lt;1.2),"Strong Buy",
 IF('NIFTY 50 Smart Analysis'!J22&gt;0.1,"Buy","Avoid"))</f>
        <v>Avoid</v>
      </c>
      <c r="P22" s="18" t="str">
        <f t="shared" si="6"/>
        <v>🟡HOLD</v>
      </c>
      <c r="Q22" s="7" t="s">
        <v>82</v>
      </c>
    </row>
    <row r="23" spans="1:17" x14ac:dyDescent="0.3">
      <c r="A23" s="16" t="s">
        <v>37</v>
      </c>
      <c r="B23" s="9">
        <f>('2025'!S23 - '2024'!S23) / '2024'!S23</f>
        <v>3.9314116904106952E-2</v>
      </c>
      <c r="C23" s="9">
        <f>('2025'!T23 - '2024'!T23) / '2024'!T23</f>
        <v>0.17760712189395422</v>
      </c>
      <c r="D23" s="9">
        <f>('2025'!E23 - '2024'!E23) / '2024'!E23</f>
        <v>9.8630989421282039E-2</v>
      </c>
      <c r="E23" s="9">
        <f>'2025'!I23 - '2024'!I23</f>
        <v>-5.5000000000000049E-3</v>
      </c>
      <c r="F23" s="9">
        <f>'2025'!J23-'2024'!J23</f>
        <v>2.8000000000000247E-3</v>
      </c>
      <c r="G23" s="9">
        <f>'2025'!K23-'2024'!K23</f>
        <v>2.6999999999999941E-3</v>
      </c>
      <c r="H23" s="9">
        <f>'2025'!L23-'2024'!L23</f>
        <v>0</v>
      </c>
      <c r="I23" s="9" t="str">
        <f t="shared" si="2"/>
        <v>Fundamentally Strong</v>
      </c>
      <c r="J23" s="9">
        <f t="shared" si="0"/>
        <v>0.10518407607311442</v>
      </c>
      <c r="K23" s="7" t="str">
        <f>IF('2025'!N23&gt;'2025'!R23,"Overvalued","Undervalued")</f>
        <v>Overvalued</v>
      </c>
      <c r="L23" s="7" t="str">
        <f t="shared" si="1"/>
        <v>Weak</v>
      </c>
      <c r="M23" s="17" t="str">
        <f t="shared" si="3"/>
        <v>▲ Bullish</v>
      </c>
      <c r="N23" s="7" t="str">
        <f t="shared" si="4"/>
        <v>Low Interest</v>
      </c>
      <c r="O23" s="7" t="str">
        <f>IF(AND(J23&gt;0.2,'2025'!P23&gt;0.15,'2025'!Q23&lt;1.2),"Strong Buy",
 IF('NIFTY 50 Smart Analysis'!J23&gt;0.1,"Buy","Avoid"))</f>
        <v>Buy</v>
      </c>
      <c r="P23" s="18" t="str">
        <f t="shared" si="6"/>
        <v>🟡HOLD</v>
      </c>
      <c r="Q23" s="7" t="s">
        <v>70</v>
      </c>
    </row>
    <row r="24" spans="1:17" x14ac:dyDescent="0.3">
      <c r="A24" s="16" t="s">
        <v>38</v>
      </c>
      <c r="B24" s="9">
        <f>('2025'!S24 - '2024'!S24) / '2024'!S24</f>
        <v>4.6370512531045384E-2</v>
      </c>
      <c r="C24" s="9">
        <f>('2025'!T24 - '2024'!T24) / '2024'!T24</f>
        <v>0.10077367544804622</v>
      </c>
      <c r="D24" s="9">
        <f>('2025'!E24 - '2024'!E24) / '2024'!E24</f>
        <v>4.1145992075586717E-2</v>
      </c>
      <c r="E24" s="9">
        <f>'2025'!I24 - '2024'!I24</f>
        <v>1.8000000000000071E-2</v>
      </c>
      <c r="F24" s="9">
        <f>'2025'!J24-'2024'!J24</f>
        <v>-4.9999999999994493E-4</v>
      </c>
      <c r="G24" s="9">
        <f>'2025'!K24-'2024'!K24</f>
        <v>-1.7499999999999988E-2</v>
      </c>
      <c r="H24" s="9">
        <f>'2025'!L24-'2024'!L24</f>
        <v>0</v>
      </c>
      <c r="I24" s="9" t="str">
        <f t="shared" si="2"/>
        <v>Fundamentally Strong</v>
      </c>
      <c r="J24" s="9">
        <f t="shared" si="0"/>
        <v>6.2763393351559435E-2</v>
      </c>
      <c r="K24" s="7" t="str">
        <f>IF('2025'!N24&gt;'2025'!R24,"Overvalued","Undervalued")</f>
        <v>Undervalued</v>
      </c>
      <c r="L24" s="7" t="str">
        <f t="shared" si="1"/>
        <v>Weak</v>
      </c>
      <c r="M24" s="17" t="str">
        <f t="shared" si="3"/>
        <v>▲ Bullish</v>
      </c>
      <c r="N24" s="7" t="str">
        <f t="shared" si="4"/>
        <v>High Interest</v>
      </c>
      <c r="O24" s="7" t="str">
        <f>IF(AND(J24&gt;0.2,'2025'!P24&gt;0.15,'2025'!Q24&lt;1.2),"Strong Buy",
 IF('NIFTY 50 Smart Analysis'!J24&gt;0.1,"Buy","Avoid"))</f>
        <v>Avoid</v>
      </c>
      <c r="P24" s="18" t="str">
        <f t="shared" si="6"/>
        <v>🟡HOLD</v>
      </c>
      <c r="Q24" s="7" t="s">
        <v>82</v>
      </c>
    </row>
    <row r="25" spans="1:17" x14ac:dyDescent="0.3">
      <c r="A25" s="16" t="s">
        <v>39</v>
      </c>
      <c r="B25" s="9">
        <f>('2025'!S25 - '2024'!S25) / '2024'!S25</f>
        <v>9.5854753692978467E-2</v>
      </c>
      <c r="C25" s="9">
        <f>('2025'!T25 - '2024'!T25) / '2024'!T25</f>
        <v>7.3075896771242335E-2</v>
      </c>
      <c r="D25" s="9">
        <f>('2025'!E25 - '2024'!E25) / '2024'!E25</f>
        <v>8.8049143708116132E-2</v>
      </c>
      <c r="E25" s="9">
        <f>'2025'!I25 - '2024'!I25</f>
        <v>-7.1999999999999842E-3</v>
      </c>
      <c r="F25" s="9">
        <f>'2025'!J25-'2024'!J25</f>
        <v>7.5000000000000067E-3</v>
      </c>
      <c r="G25" s="9">
        <f>'2025'!K25-'2024'!K25</f>
        <v>-5.7000000000000106E-3</v>
      </c>
      <c r="H25" s="9">
        <f>'2025'!L25-'2024'!L25</f>
        <v>1.899999999999985E-3</v>
      </c>
      <c r="I25" s="9" t="str">
        <f t="shared" si="2"/>
        <v>Overhyped</v>
      </c>
      <c r="J25" s="9">
        <f t="shared" si="0"/>
        <v>8.5659931390778973E-2</v>
      </c>
      <c r="K25" s="7" t="str">
        <f>IF('2025'!N25&gt;'2025'!R25,"Overvalued","Undervalued")</f>
        <v>Undervalued</v>
      </c>
      <c r="L25" s="7" t="str">
        <f t="shared" si="1"/>
        <v>Weak</v>
      </c>
      <c r="M25" s="17" t="str">
        <f t="shared" si="3"/>
        <v>▲ Bullish</v>
      </c>
      <c r="N25" s="7" t="str">
        <f t="shared" si="4"/>
        <v>Low Interest</v>
      </c>
      <c r="O25" s="7" t="str">
        <f>IF(AND(J25&gt;0.2,'2025'!P25&gt;0.15,'2025'!Q25&lt;1.2),"Strong Buy",
 IF('NIFTY 50 Smart Analysis'!J25&gt;0.1,"Buy","Avoid"))</f>
        <v>Avoid</v>
      </c>
      <c r="P25" s="20" t="str">
        <f t="shared" si="6"/>
        <v>🔴SELL</v>
      </c>
      <c r="Q25" s="7" t="s">
        <v>79</v>
      </c>
    </row>
    <row r="26" spans="1:17" x14ac:dyDescent="0.3">
      <c r="A26" s="16" t="s">
        <v>40</v>
      </c>
      <c r="B26" s="9">
        <f>('2025'!S26 - '2024'!S26) / '2024'!S26</f>
        <v>0.22053872053872053</v>
      </c>
      <c r="C26" s="9">
        <f>('2025'!T26 - '2024'!T26) / '2024'!T26</f>
        <v>-0.11245717082721488</v>
      </c>
      <c r="D26" s="9">
        <f>('2025'!E26 - '2024'!E26) / '2024'!E26</f>
        <v>-1.5410958904109588E-2</v>
      </c>
      <c r="E26" s="9">
        <f>'2025'!I26 - '2024'!I26</f>
        <v>1.3299999999999979E-2</v>
      </c>
      <c r="F26" s="9">
        <f>'2025'!J26-'2024'!J26</f>
        <v>0.1331</v>
      </c>
      <c r="G26" s="9">
        <f>'2025'!K26-'2024'!K26</f>
        <v>-9.2000000000000068E-3</v>
      </c>
      <c r="H26" s="9">
        <f>'2025'!L26-'2024'!L26</f>
        <v>-0.13709999999999994</v>
      </c>
      <c r="I26" s="9" t="str">
        <f t="shared" si="2"/>
        <v>Overhyped</v>
      </c>
      <c r="J26" s="9">
        <f t="shared" si="0"/>
        <v>3.0890196935798687E-2</v>
      </c>
      <c r="K26" s="7" t="str">
        <f>IF('2025'!N26&gt;'2025'!R26,"Overvalued","Undervalued")</f>
        <v>Undervalued</v>
      </c>
      <c r="L26" s="7" t="str">
        <f t="shared" si="1"/>
        <v>Weak</v>
      </c>
      <c r="M26" s="21" t="str">
        <f>IF(D26&gt;0,"▲ Bullish","▼ Bearish")</f>
        <v>▼ Bearish</v>
      </c>
      <c r="N26" s="7" t="str">
        <f t="shared" si="4"/>
        <v>High Interest</v>
      </c>
      <c r="O26" s="7" t="str">
        <f>IF(AND(J26&gt;0.2,'2025'!P26&gt;0.15,'2025'!Q26&lt;1.2),"Strong Buy",
 IF('NIFTY 50 Smart Analysis'!J26&gt;0.1,"Buy","Avoid"))</f>
        <v>Avoid</v>
      </c>
      <c r="P26" s="19" t="str">
        <f t="shared" si="6"/>
        <v>🟢BUY</v>
      </c>
      <c r="Q26" s="7" t="s">
        <v>83</v>
      </c>
    </row>
    <row r="27" spans="1:17" x14ac:dyDescent="0.3">
      <c r="A27" s="16" t="s">
        <v>41</v>
      </c>
      <c r="B27" s="9">
        <f>('2025'!S27 - '2024'!S27) / '2024'!S27</f>
        <v>4.2249980000685694E-2</v>
      </c>
      <c r="C27" s="9">
        <f>('2025'!T27 - '2024'!T27) / '2024'!T27</f>
        <v>0.37838442604609535</v>
      </c>
      <c r="D27" s="9">
        <f>('2025'!E27 - '2024'!E27) / '2024'!E27</f>
        <v>0.12591699326700842</v>
      </c>
      <c r="E27" s="9">
        <f>'2025'!I27 - '2024'!I27</f>
        <v>2.6299999999999962E-2</v>
      </c>
      <c r="F27" s="9">
        <f>'2025'!J27-'2024'!J27</f>
        <v>2.5000000000000022E-3</v>
      </c>
      <c r="G27" s="9">
        <f>'2025'!K27-'2024'!K27</f>
        <v>-2.7199999999999974E-2</v>
      </c>
      <c r="H27" s="9">
        <f>'2025'!L27-'2024'!L27</f>
        <v>-1.5999999999999903E-3</v>
      </c>
      <c r="I27" s="9" t="str">
        <f t="shared" si="2"/>
        <v>Fundamentally Strong</v>
      </c>
      <c r="J27" s="9">
        <f t="shared" si="0"/>
        <v>0.18218379977126317</v>
      </c>
      <c r="K27" s="7" t="str">
        <f>IF('2025'!N27&gt;'2025'!R27,"Overvalued","Undervalued")</f>
        <v>Overvalued</v>
      </c>
      <c r="L27" s="7" t="str">
        <f t="shared" si="1"/>
        <v>Weak</v>
      </c>
      <c r="M27" s="17" t="str">
        <f t="shared" ref="M27:M51" si="7">IF(D27&gt;0,"▲ Bullish","▼ Bearish")</f>
        <v>▲ Bullish</v>
      </c>
      <c r="N27" s="7" t="str">
        <f t="shared" si="4"/>
        <v>High Interest</v>
      </c>
      <c r="O27" s="7" t="str">
        <f>IF(AND(J27&gt;0.2,'2025'!P27&gt;0.15,'2025'!Q27&lt;1.2),"Strong Buy",
 IF('NIFTY 50 Smart Analysis'!J27&gt;0.1,"Buy","Avoid"))</f>
        <v>Buy</v>
      </c>
      <c r="P27" s="20" t="str">
        <f t="shared" si="6"/>
        <v>🔴SELL</v>
      </c>
      <c r="Q27" s="7" t="s">
        <v>84</v>
      </c>
    </row>
    <row r="28" spans="1:17" x14ac:dyDescent="0.3">
      <c r="A28" s="16" t="s">
        <v>42</v>
      </c>
      <c r="B28" s="9">
        <f>('2025'!S28 - '2024'!S28) / '2024'!S28</f>
        <v>0.34487870619946093</v>
      </c>
      <c r="C28" s="9">
        <f>('2025'!T28 - '2024'!T28) / '2024'!T28</f>
        <v>-0.19708411214953267</v>
      </c>
      <c r="D28" s="9">
        <f>('2025'!E28 - '2024'!E28) / '2024'!E28</f>
        <v>-0.14444140197152247</v>
      </c>
      <c r="E28" s="9">
        <f>'2025'!I28 - '2024'!I28</f>
        <v>-6.0000000000000012E-2</v>
      </c>
      <c r="F28" s="9">
        <f>'2025'!J28-'2024'!J28</f>
        <v>1.2500000000000011E-2</v>
      </c>
      <c r="G28" s="9">
        <f>'2025'!K28-'2024'!K28</f>
        <v>4.7399999999999998E-2</v>
      </c>
      <c r="H28" s="9">
        <f>'2025'!L28-'2024'!L28</f>
        <v>0</v>
      </c>
      <c r="I28" s="9" t="str">
        <f t="shared" si="2"/>
        <v>Overhyped</v>
      </c>
      <c r="J28" s="9">
        <f t="shared" si="0"/>
        <v>1.1177306928019288E-3</v>
      </c>
      <c r="K28" s="7" t="str">
        <f>IF('2025'!N28&gt;'2025'!R28,"Overvalued","Undervalued")</f>
        <v>Overvalued</v>
      </c>
      <c r="L28" s="7" t="str">
        <f t="shared" si="1"/>
        <v>Weak</v>
      </c>
      <c r="M28" s="21" t="str">
        <f t="shared" si="7"/>
        <v>▼ Bearish</v>
      </c>
      <c r="N28" s="7" t="str">
        <f t="shared" si="4"/>
        <v>Low Interest</v>
      </c>
      <c r="O28" s="7" t="str">
        <f>IF(AND(J28&gt;0.2,'2025'!P28&gt;0.15,'2025'!Q28&lt;1.2),"Strong Buy",
 IF('NIFTY 50 Smart Analysis'!J28&gt;0.1,"Buy","Avoid"))</f>
        <v>Avoid</v>
      </c>
      <c r="P28" s="18" t="str">
        <f>IF(D29&gt;0.1,"🟢BUY",
 IF(D29&gt;0,"🟡HOLD",
 "🔴SELL"))</f>
        <v>🟡HOLD</v>
      </c>
      <c r="Q28" s="7" t="s">
        <v>72</v>
      </c>
    </row>
    <row r="29" spans="1:17" x14ac:dyDescent="0.3">
      <c r="A29" s="16" t="s">
        <v>43</v>
      </c>
      <c r="B29" s="9">
        <f>('2025'!S29 - '2024'!S29) / '2024'!S29</f>
        <v>-1.439078989446754E-3</v>
      </c>
      <c r="C29" s="9">
        <f>('2025'!T29 - '2024'!T29) / '2024'!T29</f>
        <v>0.18415324336090552</v>
      </c>
      <c r="D29" s="9">
        <f>('2025'!E29 - '2024'!E29) / '2024'!E29</f>
        <v>7.3051082435747039E-2</v>
      </c>
      <c r="E29" s="9">
        <f>'2025'!I29 - '2024'!I29</f>
        <v>-8.4000000000000186E-3</v>
      </c>
      <c r="F29" s="9">
        <f>'2025'!J29-'2024'!J29</f>
        <v>-3.5000000000000031E-3</v>
      </c>
      <c r="G29" s="9">
        <f>'2025'!K29-'2024'!K29</f>
        <v>1.2299999999999978E-2</v>
      </c>
      <c r="H29" s="9">
        <f>'2025'!L29-'2024'!L29</f>
        <v>-4.0000000000001146E-4</v>
      </c>
      <c r="I29" s="9" t="str">
        <f t="shared" si="2"/>
        <v>Fundamentally Strong</v>
      </c>
      <c r="J29" s="9">
        <f t="shared" si="0"/>
        <v>8.5255082269068597E-2</v>
      </c>
      <c r="K29" s="7" t="str">
        <f>IF('2025'!N29&gt;'2025'!R29,"Overvalued","Undervalued")</f>
        <v>Overvalued</v>
      </c>
      <c r="L29" s="7" t="str">
        <f t="shared" si="1"/>
        <v>Weak</v>
      </c>
      <c r="M29" s="17" t="str">
        <f t="shared" si="7"/>
        <v>▲ Bullish</v>
      </c>
      <c r="N29" s="7" t="str">
        <f t="shared" si="4"/>
        <v>Low Interest</v>
      </c>
      <c r="O29" s="7" t="str">
        <f>IF(AND(J29&gt;0.2,'2025'!P29&gt;0.15,'2025'!Q29&lt;1.2),"Strong Buy",
 IF('NIFTY 50 Smart Analysis'!J29&gt;0.1,"Buy","Avoid"))</f>
        <v>Avoid</v>
      </c>
      <c r="P29" s="18" t="str">
        <f t="shared" si="6"/>
        <v>🟡HOLD</v>
      </c>
      <c r="Q29" s="7" t="s">
        <v>70</v>
      </c>
    </row>
    <row r="30" spans="1:17" x14ac:dyDescent="0.3">
      <c r="A30" s="16" t="s">
        <v>44</v>
      </c>
      <c r="B30" s="9">
        <f>('2025'!S30 - '2024'!S30) / '2024'!S30</f>
        <v>-0.48926315789473684</v>
      </c>
      <c r="C30" s="9">
        <f>('2025'!T30 - '2024'!T30) / '2024'!T30</f>
        <v>0.18309212037675165</v>
      </c>
      <c r="D30" s="9">
        <f>('2025'!E30 - '2024'!E30) / '2024'!E30</f>
        <v>7.7217045335566836E-2</v>
      </c>
      <c r="E30" s="9">
        <f>'2025'!I30 - '2024'!I30</f>
        <v>-3.1999999999999806E-3</v>
      </c>
      <c r="F30" s="9">
        <f>'2025'!J30-'2024'!J30</f>
        <v>0</v>
      </c>
      <c r="G30" s="9">
        <f>'2025'!K30-'2024'!K30</f>
        <v>-0.18880000000000002</v>
      </c>
      <c r="H30" s="9">
        <f>'2025'!L30-'2024'!L30</f>
        <v>0</v>
      </c>
      <c r="I30" s="9" t="str">
        <f t="shared" si="2"/>
        <v>Fundamentally Strong</v>
      </c>
      <c r="J30" s="9">
        <f t="shared" si="0"/>
        <v>-7.6317997394139456E-2</v>
      </c>
      <c r="K30" s="7" t="str">
        <f>IF('2025'!N30&gt;'2025'!R30,"Overvalued","Undervalued")</f>
        <v>Overvalued</v>
      </c>
      <c r="L30" s="7" t="str">
        <f t="shared" si="1"/>
        <v>Weak</v>
      </c>
      <c r="M30" s="17" t="str">
        <f t="shared" si="7"/>
        <v>▲ Bullish</v>
      </c>
      <c r="N30" s="7" t="str">
        <f t="shared" si="4"/>
        <v>Low Interest</v>
      </c>
      <c r="O30" s="7" t="str">
        <f>IF(AND(J30&gt;0.2,'2025'!P30&gt;0.15,'2025'!Q30&lt;1.2),"Strong Buy",
 IF('NIFTY 50 Smart Analysis'!J30&gt;0.1,"Buy","Avoid"))</f>
        <v>Avoid</v>
      </c>
      <c r="P30" s="19" t="str">
        <f>IF(D31&gt;0.1,"🟢BUY",
 IF(D31&gt;0,"🟡HOLD",
 "🔴SELL"))</f>
        <v>🟢BUY</v>
      </c>
      <c r="Q30" s="7" t="s">
        <v>85</v>
      </c>
    </row>
    <row r="31" spans="1:17" x14ac:dyDescent="0.3">
      <c r="A31" s="16" t="s">
        <v>45</v>
      </c>
      <c r="B31" s="9">
        <f>('2025'!S31 - '2024'!S31) / '2024'!S31</f>
        <v>0.14476049411121816</v>
      </c>
      <c r="C31" s="9">
        <f>('2025'!T31 - '2024'!T31) / '2024'!T31</f>
        <v>0.1473067707871151</v>
      </c>
      <c r="D31" s="9">
        <f>('2025'!E31 - '2024'!E31) / '2024'!E31</f>
        <v>0.207793041468738</v>
      </c>
      <c r="E31" s="9">
        <f>'2025'!I31 - '2024'!I31</f>
        <v>-2.6599999999999957E-2</v>
      </c>
      <c r="F31" s="9">
        <f>'2025'!J31-'2024'!J31</f>
        <v>4.0999999999999981E-2</v>
      </c>
      <c r="G31" s="9">
        <f>'2025'!K31-'2024'!K31</f>
        <v>-5.5000000000000049E-3</v>
      </c>
      <c r="H31" s="9">
        <f>'2025'!L31-'2024'!L31</f>
        <v>-8.8000000000000023E-3</v>
      </c>
      <c r="I31" s="9" t="str">
        <f t="shared" si="2"/>
        <v>Overhyped</v>
      </c>
      <c r="J31" s="9">
        <f t="shared" si="0"/>
        <v>0.16662010212235709</v>
      </c>
      <c r="K31" s="7" t="str">
        <f>IF('2025'!N31&gt;'2025'!R31,"Overvalued","Undervalued")</f>
        <v>Undervalued</v>
      </c>
      <c r="L31" s="7" t="str">
        <f t="shared" si="1"/>
        <v>Weak</v>
      </c>
      <c r="M31" s="17" t="str">
        <f t="shared" si="7"/>
        <v>▲ Bullish</v>
      </c>
      <c r="N31" s="7" t="str">
        <f t="shared" si="4"/>
        <v>Low Interest</v>
      </c>
      <c r="O31" s="7" t="str">
        <f>IF(AND(J31&gt;0.2,'2025'!P31&gt;0.15,'2025'!Q31&lt;1.2),"Strong Buy",
 IF('NIFTY 50 Smart Analysis'!J31&gt;0.1,"Buy","Avoid"))</f>
        <v>Buy</v>
      </c>
      <c r="P31" s="19" t="str">
        <f t="shared" si="6"/>
        <v>🟢BUY</v>
      </c>
      <c r="Q31" s="7" t="s">
        <v>71</v>
      </c>
    </row>
    <row r="32" spans="1:17" x14ac:dyDescent="0.3">
      <c r="A32" s="16" t="s">
        <v>46</v>
      </c>
      <c r="B32" s="9">
        <f>('2025'!S32 - '2024'!S32) / '2024'!S32</f>
        <v>8.500493142131367E-2</v>
      </c>
      <c r="C32" s="9">
        <f>('2025'!T32 - '2024'!T32) / '2024'!T32</f>
        <v>9.7736391854038915E-2</v>
      </c>
      <c r="D32" s="9">
        <f>('2025'!E32 - '2024'!E32) / '2024'!E32</f>
        <v>0.37423868312757202</v>
      </c>
      <c r="E32" s="9">
        <f>'2025'!I32 - '2024'!I32</f>
        <v>-4.7900000000000026E-2</v>
      </c>
      <c r="F32" s="9">
        <f>'2025'!J32-'2024'!J32</f>
        <v>7.7100000000000002E-2</v>
      </c>
      <c r="G32" s="9">
        <f>'2025'!K32-'2024'!K32</f>
        <v>-3.0199999999999994E-2</v>
      </c>
      <c r="H32" s="9">
        <f>'2025'!L32-'2024'!L32</f>
        <v>9.000000000000119E-4</v>
      </c>
      <c r="I32" s="9" t="str">
        <f t="shared" si="2"/>
        <v>Overhyped</v>
      </c>
      <c r="J32" s="9">
        <f t="shared" si="0"/>
        <v>0.18566000213430822</v>
      </c>
      <c r="K32" s="7" t="str">
        <f>IF('2025'!N32&gt;'2025'!R32,"Overvalued","Undervalued")</f>
        <v>Undervalued</v>
      </c>
      <c r="L32" s="7" t="str">
        <f t="shared" si="1"/>
        <v>Weak</v>
      </c>
      <c r="M32" s="17" t="str">
        <f t="shared" si="7"/>
        <v>▲ Bullish</v>
      </c>
      <c r="N32" s="7" t="str">
        <f t="shared" si="4"/>
        <v>Low Interest</v>
      </c>
      <c r="O32" s="7" t="str">
        <f>IF(AND(J32&gt;0.2,'2025'!P32&gt;0.15,'2025'!Q32&lt;1.2),"Strong Buy",
 IF('NIFTY 50 Smart Analysis'!J32&gt;0.1,"Buy","Avoid"))</f>
        <v>Buy</v>
      </c>
      <c r="P32" s="20" t="str">
        <f t="shared" si="6"/>
        <v>🔴SELL</v>
      </c>
      <c r="Q32" s="7" t="s">
        <v>71</v>
      </c>
    </row>
    <row r="33" spans="1:17" x14ac:dyDescent="0.3">
      <c r="A33" s="16" t="s">
        <v>47</v>
      </c>
      <c r="B33" s="9">
        <f>('2025'!S33 - '2024'!S33) / '2024'!S33</f>
        <v>-2.5719434433046848E-2</v>
      </c>
      <c r="C33" s="9">
        <f>('2025'!T33 - '2024'!T33) / '2024'!T33</f>
        <v>-0.11450205761316863</v>
      </c>
      <c r="D33" s="9">
        <f>('2025'!E33 - '2024'!E33) / '2024'!E33</f>
        <v>-8.1281377002142868E-4</v>
      </c>
      <c r="E33" s="9">
        <f>'2025'!I33 - '2024'!I33</f>
        <v>-2.5500000000000078E-2</v>
      </c>
      <c r="F33" s="9">
        <f>'2025'!J33-'2024'!J33</f>
        <v>6.0100000000000015E-2</v>
      </c>
      <c r="G33" s="9">
        <f>'2025'!K33-'2024'!K33</f>
        <v>-3.4300000000000004E-2</v>
      </c>
      <c r="H33" s="9">
        <f>'2025'!L33-'2024'!L33</f>
        <v>-2.9999999999999472E-4</v>
      </c>
      <c r="I33" s="9" t="str">
        <f t="shared" si="2"/>
        <v>Overhyped</v>
      </c>
      <c r="J33" s="9">
        <f t="shared" si="0"/>
        <v>-4.7011435272078968E-2</v>
      </c>
      <c r="K33" s="7" t="str">
        <f>IF('2025'!N33&gt;'2025'!R33,"Overvalued","Undervalued")</f>
        <v>Overvalued</v>
      </c>
      <c r="L33" s="7" t="str">
        <f t="shared" si="1"/>
        <v>Weak</v>
      </c>
      <c r="M33" s="21" t="str">
        <f t="shared" si="7"/>
        <v>▼ Bearish</v>
      </c>
      <c r="N33" s="7" t="str">
        <f t="shared" si="4"/>
        <v>Low Interest</v>
      </c>
      <c r="O33" s="7" t="str">
        <f>IF(AND(J33&gt;0.2,'2025'!P33&gt;0.15,'2025'!Q33&lt;1.2),"Strong Buy",
 IF('NIFTY 50 Smart Analysis'!J33&gt;0.1,"Buy","Avoid"))</f>
        <v>Avoid</v>
      </c>
      <c r="P33" s="20" t="str">
        <f t="shared" si="6"/>
        <v>🔴SELL</v>
      </c>
      <c r="Q33" s="7" t="s">
        <v>86</v>
      </c>
    </row>
    <row r="34" spans="1:17" x14ac:dyDescent="0.3">
      <c r="A34" s="16" t="s">
        <v>48</v>
      </c>
      <c r="B34" s="9">
        <f>('2025'!S34 - '2024'!S34) / '2024'!S34</f>
        <v>6.7661663309025899E-2</v>
      </c>
      <c r="C34" s="9">
        <f>('2025'!T34 - '2024'!T34) / '2024'!T34</f>
        <v>9.7974873429589354E-2</v>
      </c>
      <c r="D34" s="9">
        <f>('2025'!E34 - '2024'!E34) / '2024'!E34</f>
        <v>-1.879609802522016E-2</v>
      </c>
      <c r="E34" s="9">
        <f>'2025'!I34 - '2024'!I34</f>
        <v>-1.6100000000000031E-2</v>
      </c>
      <c r="F34" s="9">
        <f>'2025'!J34-'2024'!J34</f>
        <v>2.2900000000000031E-2</v>
      </c>
      <c r="G34" s="9">
        <f>'2025'!K34-'2024'!K34</f>
        <v>-6.9000000000000034E-3</v>
      </c>
      <c r="H34" s="9">
        <f>'2025'!L34-'2024'!L34</f>
        <v>0</v>
      </c>
      <c r="I34" s="9" t="str">
        <f t="shared" si="2"/>
        <v>Fundamentally Strong</v>
      </c>
      <c r="J34" s="9">
        <f t="shared" ref="J34:J51" si="8">(B34 + C34 + D34)/3</f>
        <v>4.894681290446503E-2</v>
      </c>
      <c r="K34" s="7" t="str">
        <f>IF('2025'!N34&gt;'2025'!R34,"Overvalued","Undervalued")</f>
        <v>Undervalued</v>
      </c>
      <c r="L34" s="7" t="str">
        <f t="shared" ref="L34:L51" si="9">IF(AND(B34&gt;0.15,C34&gt;0.15),"Strong","Weak")</f>
        <v>Weak</v>
      </c>
      <c r="M34" s="21" t="str">
        <f t="shared" si="7"/>
        <v>▼ Bearish</v>
      </c>
      <c r="N34" s="7" t="str">
        <f t="shared" si="4"/>
        <v>Low Interest</v>
      </c>
      <c r="O34" s="7" t="str">
        <f>IF(AND(J34&gt;0.2,'2025'!P34&gt;0.15,'2025'!Q34&lt;1.2),"Strong Buy",
 IF('NIFTY 50 Smart Analysis'!J34&gt;0.1,"Buy","Avoid"))</f>
        <v>Avoid</v>
      </c>
      <c r="P34" s="20" t="str">
        <f>IF(D35&gt;0.1,"🟢BUY",
 IF(D35&gt;0,"🟡HOLD",
 "🔴SELL"))</f>
        <v>🔴SELL</v>
      </c>
      <c r="Q34" s="7" t="s">
        <v>87</v>
      </c>
    </row>
    <row r="35" spans="1:17" x14ac:dyDescent="0.3">
      <c r="A35" s="16" t="s">
        <v>49</v>
      </c>
      <c r="B35" s="9">
        <f>('2025'!S35 - '2024'!S35) / '2024'!S35</f>
        <v>0.18058678939386016</v>
      </c>
      <c r="C35" s="9">
        <f>('2025'!T35 - '2024'!T35) / '2024'!T35</f>
        <v>0.23050847457627119</v>
      </c>
      <c r="D35" s="9">
        <f>('2025'!E35 - '2024'!E35) / '2024'!E35</f>
        <v>-2.7468107114124916E-2</v>
      </c>
      <c r="E35" s="9">
        <f>'2025'!I35 - '2024'!I35</f>
        <v>0</v>
      </c>
      <c r="F35" s="9">
        <f>'2025'!J35-'2024'!J35</f>
        <v>2.0000000000000018E-3</v>
      </c>
      <c r="G35" s="9">
        <f>'2025'!K35-'2024'!K35</f>
        <v>-1.9000000000000128E-3</v>
      </c>
      <c r="H35" s="9">
        <f>'2025'!L35-'2024'!L35</f>
        <v>-9.9999999999988987E-5</v>
      </c>
      <c r="I35" s="9" t="str">
        <f t="shared" si="2"/>
        <v>Fundamentally Strong</v>
      </c>
      <c r="J35" s="9">
        <f t="shared" si="8"/>
        <v>0.12787571895200214</v>
      </c>
      <c r="K35" s="7" t="str">
        <f>IF('2025'!N35&gt;'2025'!R35,"Overvalued","Undervalued")</f>
        <v>Overvalued</v>
      </c>
      <c r="L35" s="7" t="str">
        <f t="shared" si="9"/>
        <v>Strong</v>
      </c>
      <c r="M35" s="21" t="str">
        <f t="shared" si="7"/>
        <v>▼ Bearish</v>
      </c>
      <c r="N35" s="7" t="str">
        <f t="shared" si="4"/>
        <v>Low Interest</v>
      </c>
      <c r="O35" s="7" t="str">
        <f>IF(AND(J35&gt;0.2,'2025'!P35&gt;0.15,'2025'!Q35&lt;1.2),"Strong Buy",
 IF('NIFTY 50 Smart Analysis'!J35&gt;0.1,"Buy","Avoid"))</f>
        <v>Buy</v>
      </c>
      <c r="P35" s="20" t="str">
        <f t="shared" si="6"/>
        <v>🔴SELL</v>
      </c>
      <c r="Q35" s="7" t="s">
        <v>82</v>
      </c>
    </row>
    <row r="36" spans="1:17" x14ac:dyDescent="0.3">
      <c r="A36" s="16" t="s">
        <v>50</v>
      </c>
      <c r="B36" s="9">
        <f>('2025'!S36 - '2024'!S36) / '2024'!S36</f>
        <v>3.151166407465008E-2</v>
      </c>
      <c r="C36" s="9">
        <f>('2025'!T36 - '2024'!T36) / '2024'!T36</f>
        <v>-0.3287508099683018</v>
      </c>
      <c r="D36" s="9">
        <f>('2025'!E36 - '2024'!E36) / '2024'!E36</f>
        <v>-8.941027266962584E-2</v>
      </c>
      <c r="E36" s="9">
        <f>'2025'!I36 - '2024'!I36</f>
        <v>-1.6799999999999995E-2</v>
      </c>
      <c r="F36" s="9">
        <f>'2025'!J36-'2024'!J36</f>
        <v>-1.0999999999999899E-3</v>
      </c>
      <c r="G36" s="9">
        <f>'2025'!K36-'2024'!K36</f>
        <v>1.7799999999999983E-2</v>
      </c>
      <c r="H36" s="9">
        <f>'2025'!L36-'2024'!L36</f>
        <v>0</v>
      </c>
      <c r="I36" s="9" t="str">
        <f t="shared" si="2"/>
        <v>Overhyped</v>
      </c>
      <c r="J36" s="9">
        <f t="shared" si="8"/>
        <v>-0.12888313952109254</v>
      </c>
      <c r="K36" s="7" t="str">
        <f>IF('2025'!N36&gt;'2025'!R36,"Overvalued","Undervalued")</f>
        <v>Undervalued</v>
      </c>
      <c r="L36" s="7" t="str">
        <f t="shared" si="9"/>
        <v>Weak</v>
      </c>
      <c r="M36" s="21" t="str">
        <f t="shared" si="7"/>
        <v>▼ Bearish</v>
      </c>
      <c r="N36" s="7" t="str">
        <f t="shared" si="4"/>
        <v>Low Interest</v>
      </c>
      <c r="O36" s="7" t="str">
        <f>IF(AND(J36&gt;0.2,'2025'!P36&gt;0.15,'2025'!Q36&lt;1.2),"Strong Buy",
 IF('NIFTY 50 Smart Analysis'!J36&gt;0.1,"Buy","Avoid"))</f>
        <v>Avoid</v>
      </c>
      <c r="P36" s="20" t="str">
        <f t="shared" si="6"/>
        <v>🔴SELL</v>
      </c>
      <c r="Q36" s="7" t="s">
        <v>88</v>
      </c>
    </row>
    <row r="37" spans="1:17" x14ac:dyDescent="0.3">
      <c r="A37" s="16" t="s">
        <v>51</v>
      </c>
      <c r="B37" s="9">
        <f>('2025'!S37 - '2024'!S37) / '2024'!S37</f>
        <v>3.2428306618689347E-2</v>
      </c>
      <c r="C37" s="9">
        <f>('2025'!T37 - '2024'!T37) / '2024'!T37</f>
        <v>-7.8982854941244459E-3</v>
      </c>
      <c r="D37" s="9">
        <f>('2025'!E37 - '2024'!E37) / '2024'!E37</f>
        <v>-0.23481781376518215</v>
      </c>
      <c r="E37" s="9">
        <f>'2025'!I37 - '2024'!I37</f>
        <v>-3.870000000000004E-2</v>
      </c>
      <c r="F37" s="9">
        <f>'2025'!J37-'2024'!J37</f>
        <v>8.1100000000000005E-2</v>
      </c>
      <c r="G37" s="9">
        <f>'2025'!K37-'2024'!K37</f>
        <v>-4.2400000000000007E-2</v>
      </c>
      <c r="H37" s="9">
        <f>'2025'!L37-'2024'!L37</f>
        <v>0</v>
      </c>
      <c r="I37" s="9" t="str">
        <f t="shared" si="2"/>
        <v>Fundamentally Strong</v>
      </c>
      <c r="J37" s="9">
        <f t="shared" si="8"/>
        <v>-7.0095930880205756E-2</v>
      </c>
      <c r="K37" s="7" t="str">
        <f>IF('2025'!N37&gt;'2025'!R37,"Overvalued","Undervalued")</f>
        <v>Undervalued</v>
      </c>
      <c r="L37" s="7" t="str">
        <f t="shared" si="9"/>
        <v>Weak</v>
      </c>
      <c r="M37" s="21" t="str">
        <f t="shared" si="7"/>
        <v>▼ Bearish</v>
      </c>
      <c r="N37" s="7" t="str">
        <f t="shared" si="4"/>
        <v>Low Interest</v>
      </c>
      <c r="O37" s="7" t="str">
        <f>IF(AND(J37&gt;0.2,'2025'!P37&gt;0.15,'2025'!Q37&lt;1.2),"Strong Buy",
 IF('NIFTY 50 Smart Analysis'!J37&gt;0.1,"Buy","Avoid"))</f>
        <v>Avoid</v>
      </c>
      <c r="P37" s="18" t="str">
        <f t="shared" si="6"/>
        <v>🟡HOLD</v>
      </c>
      <c r="Q37" s="7" t="s">
        <v>89</v>
      </c>
    </row>
    <row r="38" spans="1:17" x14ac:dyDescent="0.3">
      <c r="A38" s="16" t="s">
        <v>52</v>
      </c>
      <c r="B38" s="9">
        <f>('2025'!S38 - '2024'!S38) / '2024'!S38</f>
        <v>0.17135789832821563</v>
      </c>
      <c r="C38" s="9">
        <f>('2025'!T38 - '2024'!T38) / '2024'!T38</f>
        <v>0.16788038091955013</v>
      </c>
      <c r="D38" s="9">
        <f>('2025'!E38 - '2024'!E38) / '2024'!E38</f>
        <v>3.3163096106652516E-2</v>
      </c>
      <c r="E38" s="9">
        <f>'2025'!I38 - '2024'!I38</f>
        <v>-3.0100000000000016E-2</v>
      </c>
      <c r="F38" s="9">
        <f>'2025'!J38-'2024'!J38</f>
        <v>3.6299999999999999E-2</v>
      </c>
      <c r="G38" s="9">
        <f>'2025'!K38-'2024'!K38</f>
        <v>-2.8999999999999859E-3</v>
      </c>
      <c r="H38" s="9">
        <f>'2025'!L38-'2024'!L38</f>
        <v>-3.1999999999999806E-3</v>
      </c>
      <c r="I38" s="9" t="str">
        <f t="shared" si="2"/>
        <v>Fundamentally Strong</v>
      </c>
      <c r="J38" s="9">
        <f t="shared" si="8"/>
        <v>0.12413379178480609</v>
      </c>
      <c r="K38" s="7" t="str">
        <f>IF('2025'!N38&gt;'2025'!R38,"Overvalued","Undervalued")</f>
        <v>Overvalued</v>
      </c>
      <c r="L38" s="7" t="str">
        <f t="shared" si="9"/>
        <v>Strong</v>
      </c>
      <c r="M38" s="17" t="str">
        <f t="shared" si="7"/>
        <v>▲ Bullish</v>
      </c>
      <c r="N38" s="7" t="str">
        <f t="shared" si="4"/>
        <v>Low Interest</v>
      </c>
      <c r="O38" s="7" t="str">
        <f>IF(AND(J38&gt;0.2,'2025'!P38&gt;0.15,'2025'!Q38&lt;1.2),"Strong Buy",
 IF('NIFTY 50 Smart Analysis'!J38&gt;0.1,"Buy","Avoid"))</f>
        <v>Buy</v>
      </c>
      <c r="P38" s="19" t="str">
        <f t="shared" si="6"/>
        <v>🟢BUY</v>
      </c>
      <c r="Q38" s="7" t="s">
        <v>90</v>
      </c>
    </row>
    <row r="39" spans="1:17" x14ac:dyDescent="0.3">
      <c r="A39" s="16" t="s">
        <v>53</v>
      </c>
      <c r="B39" s="9">
        <f>('2025'!S39 - '2024'!S39) / '2024'!S39</f>
        <v>2.4095778748180496</v>
      </c>
      <c r="C39" s="9">
        <f>('2025'!T39 - '2024'!T39) / '2024'!T39</f>
        <v>0.25607708553326303</v>
      </c>
      <c r="D39" s="9">
        <f>('2025'!E39 - '2024'!E39) / '2024'!E39</f>
        <v>0.1242541436464089</v>
      </c>
      <c r="E39" s="9">
        <f>'2025'!I39 - '2024'!I39</f>
        <v>-2.2699999999999998E-2</v>
      </c>
      <c r="F39" s="9">
        <f>'2025'!J39-'2024'!J39</f>
        <v>3.9199999999999957E-2</v>
      </c>
      <c r="G39" s="9">
        <f>'2025'!K39-'2024'!K39</f>
        <v>-1.5699999999999999E-2</v>
      </c>
      <c r="H39" s="9">
        <f>'2025'!L39-'2024'!L39</f>
        <v>-8.0000000000002292E-4</v>
      </c>
      <c r="I39" s="9" t="str">
        <f t="shared" si="2"/>
        <v>Fundamentally Strong</v>
      </c>
      <c r="J39" s="9">
        <f t="shared" si="8"/>
        <v>0.92996970133257395</v>
      </c>
      <c r="K39" s="7" t="str">
        <f>IF('2025'!N39&gt;'2025'!R39,"Overvalued","Undervalued")</f>
        <v>Overvalued</v>
      </c>
      <c r="L39" s="7" t="str">
        <f t="shared" si="9"/>
        <v>Strong</v>
      </c>
      <c r="M39" s="17" t="str">
        <f t="shared" si="7"/>
        <v>▲ Bullish</v>
      </c>
      <c r="N39" s="7" t="str">
        <f t="shared" si="4"/>
        <v>Low Interest</v>
      </c>
      <c r="O39" s="7" t="str">
        <f>IF(AND(J39&gt;0.2,'2025'!P39&gt;0.15,'2025'!Q39&lt;1.2),"Strong Buy",
 IF('NIFTY 50 Smart Analysis'!J39&gt;0.1,"Buy","Avoid"))</f>
        <v>Strong Buy</v>
      </c>
      <c r="P39" s="20" t="str">
        <f t="shared" si="6"/>
        <v>🔴SELL</v>
      </c>
      <c r="Q39" s="7" t="s">
        <v>80</v>
      </c>
    </row>
    <row r="40" spans="1:17" x14ac:dyDescent="0.3">
      <c r="A40" s="16" t="s">
        <v>54</v>
      </c>
      <c r="B40" s="9">
        <f>('2025'!S40 - '2024'!S40) / '2024'!S40</f>
        <v>-0.81384582543960293</v>
      </c>
      <c r="C40" s="9">
        <f>('2025'!T40 - '2024'!T40) / '2024'!T40</f>
        <v>0.35757997218358833</v>
      </c>
      <c r="D40" s="9">
        <f>('2025'!E40 - '2024'!E40) / '2024'!E40</f>
        <v>-0.66835443037974684</v>
      </c>
      <c r="E40" s="9">
        <f>'2025'!I40 - '2024'!I40</f>
        <v>-6.629999999999997E-2</v>
      </c>
      <c r="F40" s="9">
        <f>'2025'!J40-'2024'!J40</f>
        <v>6.2E-2</v>
      </c>
      <c r="G40" s="9">
        <f>'2025'!K40-'2024'!K40</f>
        <v>4.4999999999999971E-3</v>
      </c>
      <c r="H40" s="9">
        <f>'2025'!L40-'2024'!L40</f>
        <v>-2.0000000000003348E-4</v>
      </c>
      <c r="I40" s="9" t="str">
        <f t="shared" si="2"/>
        <v>Fundamentally Strong</v>
      </c>
      <c r="J40" s="9">
        <f t="shared" si="8"/>
        <v>-0.37487342787858718</v>
      </c>
      <c r="K40" s="7" t="str">
        <f>IF('2025'!N40&gt;'2025'!R40,"Overvalued","Undervalued")</f>
        <v>Undervalued</v>
      </c>
      <c r="L40" s="7" t="str">
        <f t="shared" si="9"/>
        <v>Weak</v>
      </c>
      <c r="M40" s="21" t="str">
        <f t="shared" si="7"/>
        <v>▼ Bearish</v>
      </c>
      <c r="N40" s="7" t="str">
        <f t="shared" si="4"/>
        <v>Low Interest</v>
      </c>
      <c r="O40" s="7" t="str">
        <f>IF(AND(J40&gt;0.2,'2025'!P40&gt;0.15,'2025'!Q40&lt;1.2),"Strong Buy",
 IF('NIFTY 50 Smart Analysis'!J40&gt;0.1,"Buy","Avoid"))</f>
        <v>Avoid</v>
      </c>
      <c r="P40" s="18" t="str">
        <f t="shared" si="6"/>
        <v>🟡HOLD</v>
      </c>
      <c r="Q40" s="7" t="s">
        <v>91</v>
      </c>
    </row>
    <row r="41" spans="1:17" x14ac:dyDescent="0.3">
      <c r="A41" s="16" t="s">
        <v>55</v>
      </c>
      <c r="B41" s="9">
        <f>('2025'!S41 - '2024'!S41) / '2024'!S41</f>
        <v>-0.96223596419853541</v>
      </c>
      <c r="C41" s="9">
        <f>('2025'!T41 - '2024'!T41) / '2024'!T41</f>
        <v>0.16084614503004405</v>
      </c>
      <c r="D41" s="9">
        <f>('2025'!E41 - '2024'!E41) / '2024'!E41</f>
        <v>7.9380101739027598E-2</v>
      </c>
      <c r="E41" s="9">
        <f>'2025'!I41 - '2024'!I41</f>
        <v>-7.5000000000000067E-3</v>
      </c>
      <c r="F41" s="9">
        <f>'2025'!J41-'2024'!J41</f>
        <v>2.9700000000000004E-2</v>
      </c>
      <c r="G41" s="9">
        <f>'2025'!K41-'2024'!K41</f>
        <v>-2.0000000000000018E-3</v>
      </c>
      <c r="H41" s="9">
        <f>'2025'!L41-'2024'!L41</f>
        <v>-2.0399999999999974E-2</v>
      </c>
      <c r="I41" s="9" t="str">
        <f t="shared" si="2"/>
        <v>Fundamentally Strong</v>
      </c>
      <c r="J41" s="9">
        <f t="shared" si="8"/>
        <v>-0.24066990580982126</v>
      </c>
      <c r="K41" s="7" t="str">
        <f>IF('2025'!N41&gt;'2025'!R41,"Overvalued","Undervalued")</f>
        <v>Undervalued</v>
      </c>
      <c r="L41" s="7" t="str">
        <f t="shared" si="9"/>
        <v>Weak</v>
      </c>
      <c r="M41" s="17" t="str">
        <f t="shared" si="7"/>
        <v>▲ Bullish</v>
      </c>
      <c r="N41" s="7" t="str">
        <f t="shared" si="4"/>
        <v>Low Interest</v>
      </c>
      <c r="O41" s="7" t="str">
        <f>IF(AND(J41&gt;0.2,'2025'!P41&gt;0.15,'2025'!Q41&lt;1.2),"Strong Buy",
 IF('NIFTY 50 Smart Analysis'!J41&gt;0.1,"Buy","Avoid"))</f>
        <v>Avoid</v>
      </c>
      <c r="P41" s="20" t="str">
        <f t="shared" si="6"/>
        <v>🔴SELL</v>
      </c>
      <c r="Q41" s="7" t="s">
        <v>70</v>
      </c>
    </row>
    <row r="42" spans="1:17" x14ac:dyDescent="0.3">
      <c r="A42" s="16" t="s">
        <v>56</v>
      </c>
      <c r="B42" s="9">
        <f>('2025'!S42 - '2024'!S42) / '2024'!S42</f>
        <v>8.414953502278491E-2</v>
      </c>
      <c r="C42" s="9">
        <f>('2025'!T42 - '2024'!T42) / '2024'!T42</f>
        <v>0.13826232247284878</v>
      </c>
      <c r="D42" s="9">
        <f>('2025'!E42 - '2024'!E42) / '2024'!E42</f>
        <v>-0.10157762163595384</v>
      </c>
      <c r="E42" s="9">
        <f>'2025'!I42 - '2024'!I42</f>
        <v>-1.0799999999999976E-2</v>
      </c>
      <c r="F42" s="9">
        <f>'2025'!J42-'2024'!J42</f>
        <v>1.2699999999999989E-2</v>
      </c>
      <c r="G42" s="9">
        <f>'2025'!K42-'2024'!K42</f>
        <v>-1.8999999999999989E-3</v>
      </c>
      <c r="H42" s="9">
        <f>'2025'!L42-'2024'!L42</f>
        <v>0</v>
      </c>
      <c r="I42" s="9" t="str">
        <f t="shared" si="2"/>
        <v>Fundamentally Strong</v>
      </c>
      <c r="J42" s="9">
        <f t="shared" si="8"/>
        <v>4.0278078619893284E-2</v>
      </c>
      <c r="K42" s="7" t="str">
        <f>IF('2025'!N42&gt;'2025'!R42,"Overvalued","Undervalued")</f>
        <v>Undervalued</v>
      </c>
      <c r="L42" s="7" t="str">
        <f t="shared" si="9"/>
        <v>Weak</v>
      </c>
      <c r="M42" s="21" t="str">
        <f t="shared" si="7"/>
        <v>▼ Bearish</v>
      </c>
      <c r="N42" s="7" t="str">
        <f t="shared" si="4"/>
        <v>Low Interest</v>
      </c>
      <c r="O42" s="7" t="str">
        <f>IF(AND(J42&gt;0.2,'2025'!P42&gt;0.15,'2025'!Q42&lt;1.2),"Strong Buy",
 IF('NIFTY 50 Smart Analysis'!J42&gt;0.1,"Buy","Avoid"))</f>
        <v>Avoid</v>
      </c>
      <c r="P42" s="20" t="str">
        <f t="shared" si="6"/>
        <v>🔴SELL</v>
      </c>
      <c r="Q42" s="7" t="s">
        <v>75</v>
      </c>
    </row>
    <row r="43" spans="1:17" x14ac:dyDescent="0.3">
      <c r="A43" s="16" t="s">
        <v>57</v>
      </c>
      <c r="B43" s="9">
        <f>('2025'!S43 - '2024'!S43) / '2024'!S43</f>
        <v>5.9906265437351856E-2</v>
      </c>
      <c r="C43" s="9">
        <f>('2025'!T43 - '2024'!T43) / '2024'!T43</f>
        <v>4.2245357947837285E-2</v>
      </c>
      <c r="D43" s="9">
        <f>('2025'!E43 - '2024'!E43) / '2024'!E43</f>
        <v>-2.2087142127975457E-2</v>
      </c>
      <c r="E43" s="9">
        <f>'2025'!I43 - '2024'!I43</f>
        <v>-2.0800000000000013E-2</v>
      </c>
      <c r="F43" s="9">
        <f>'2025'!J43-'2024'!J43</f>
        <v>2.6699999999999988E-2</v>
      </c>
      <c r="G43" s="9">
        <f>'2025'!K43-'2024'!K43</f>
        <v>-5.9000000000000025E-3</v>
      </c>
      <c r="H43" s="9">
        <f>'2025'!L43-'2024'!L43</f>
        <v>0</v>
      </c>
      <c r="I43" s="9" t="str">
        <f t="shared" si="2"/>
        <v>Fundamentally Strong</v>
      </c>
      <c r="J43" s="9">
        <f t="shared" si="8"/>
        <v>2.6688160419071228E-2</v>
      </c>
      <c r="K43" s="7" t="str">
        <f>IF('2025'!N43&gt;'2025'!R43,"Overvalued","Undervalued")</f>
        <v>Undervalued</v>
      </c>
      <c r="L43" s="7" t="str">
        <f t="shared" si="9"/>
        <v>Weak</v>
      </c>
      <c r="M43" s="21" t="str">
        <f t="shared" si="7"/>
        <v>▼ Bearish</v>
      </c>
      <c r="N43" s="7" t="str">
        <f t="shared" si="4"/>
        <v>Low Interest</v>
      </c>
      <c r="O43" s="7" t="str">
        <f>IF(AND(J43&gt;0.2,'2025'!P43&gt;0.15,'2025'!Q43&lt;1.2),"Strong Buy",
 IF('NIFTY 50 Smart Analysis'!J43&gt;0.1,"Buy","Avoid"))</f>
        <v>Avoid</v>
      </c>
      <c r="P43" s="20" t="str">
        <f t="shared" si="6"/>
        <v>🔴SELL</v>
      </c>
      <c r="Q43" s="7" t="s">
        <v>79</v>
      </c>
    </row>
    <row r="44" spans="1:17" x14ac:dyDescent="0.3">
      <c r="A44" s="16" t="s">
        <v>58</v>
      </c>
      <c r="B44" s="9">
        <f>('2025'!S44 - '2024'!S44) / '2024'!S44</f>
        <v>0.15862159673812967</v>
      </c>
      <c r="C44" s="9">
        <f>('2025'!T44 - '2024'!T44) / '2024'!T44</f>
        <v>3.5258814703675916E-2</v>
      </c>
      <c r="D44" s="9">
        <f>('2025'!E44 - '2024'!E44) / '2024'!E44</f>
        <v>-2.4600954418298574E-2</v>
      </c>
      <c r="E44" s="9">
        <f>'2025'!I44 - '2024'!I44</f>
        <v>-3.2700000000000007E-2</v>
      </c>
      <c r="F44" s="9">
        <f>'2025'!J44-'2024'!J44</f>
        <v>6.6599999999999993E-2</v>
      </c>
      <c r="G44" s="9">
        <f>'2025'!K44-'2024'!K44</f>
        <v>-2.7800000000000019E-2</v>
      </c>
      <c r="H44" s="9">
        <f>'2025'!L44-'2024'!L44</f>
        <v>-6.0999999999999943E-3</v>
      </c>
      <c r="I44" s="9" t="str">
        <f t="shared" si="2"/>
        <v>Fundamentally Strong</v>
      </c>
      <c r="J44" s="9">
        <f t="shared" si="8"/>
        <v>5.6426485674502341E-2</v>
      </c>
      <c r="K44" s="7" t="str">
        <f>IF('2025'!N44&gt;'2025'!R44,"Overvalued","Undervalued")</f>
        <v>Overvalued</v>
      </c>
      <c r="L44" s="7" t="str">
        <f t="shared" si="9"/>
        <v>Weak</v>
      </c>
      <c r="M44" s="21" t="str">
        <f t="shared" si="7"/>
        <v>▼ Bearish</v>
      </c>
      <c r="N44" s="7" t="str">
        <f t="shared" si="4"/>
        <v>Low Interest</v>
      </c>
      <c r="O44" s="7" t="str">
        <f>IF(AND(J44&gt;0.2,'2025'!P44&gt;0.15,'2025'!Q44&lt;1.2),"Strong Buy",
 IF('NIFTY 50 Smart Analysis'!J44&gt;0.1,"Buy","Avoid"))</f>
        <v>Avoid</v>
      </c>
      <c r="P44" s="18" t="str">
        <f t="shared" si="6"/>
        <v>🟡HOLD</v>
      </c>
      <c r="Q44" s="7" t="s">
        <v>82</v>
      </c>
    </row>
    <row r="45" spans="1:17" x14ac:dyDescent="0.3">
      <c r="A45" s="16" t="s">
        <v>59</v>
      </c>
      <c r="B45" s="9">
        <f>('2025'!S45 - '2024'!S45) / '2024'!S45</f>
        <v>6.9125518350048404E-2</v>
      </c>
      <c r="C45" s="9">
        <f>('2025'!T45 - '2024'!T45) / '2024'!T45</f>
        <v>1.277110736010701E-2</v>
      </c>
      <c r="D45" s="9">
        <f>('2025'!E45 - '2024'!E45) / '2024'!E45</f>
        <v>4.5106667942217633E-2</v>
      </c>
      <c r="E45" s="9">
        <f>'2025'!I45 - '2024'!I45</f>
        <v>0</v>
      </c>
      <c r="F45" s="9">
        <f>'2025'!J45-'2024'!J45</f>
        <v>3.4999999999999754E-3</v>
      </c>
      <c r="G45" s="9">
        <f>'2025'!K45-'2024'!K45</f>
        <v>-1.9000000000000128E-3</v>
      </c>
      <c r="H45" s="9">
        <f>'2025'!L45-'2024'!L45</f>
        <v>-1.5999999999999903E-3</v>
      </c>
      <c r="I45" s="9" t="str">
        <f t="shared" si="2"/>
        <v>Overhyped</v>
      </c>
      <c r="J45" s="9">
        <f t="shared" si="8"/>
        <v>4.2334431217457676E-2</v>
      </c>
      <c r="K45" s="7" t="str">
        <f>IF('2025'!N45&gt;'2025'!R45,"Overvalued","Undervalued")</f>
        <v>Undervalued</v>
      </c>
      <c r="L45" s="7" t="str">
        <f t="shared" si="9"/>
        <v>Weak</v>
      </c>
      <c r="M45" s="17" t="str">
        <f t="shared" si="7"/>
        <v>▲ Bullish</v>
      </c>
      <c r="N45" s="7" t="str">
        <f t="shared" si="4"/>
        <v>Low Interest</v>
      </c>
      <c r="O45" s="7" t="str">
        <f>IF(AND(J45&gt;0.2,'2025'!P45&gt;0.15,'2025'!Q45&lt;1.2),"Strong Buy",
 IF('NIFTY 50 Smart Analysis'!J45&gt;0.1,"Buy","Avoid"))</f>
        <v>Avoid</v>
      </c>
      <c r="P45" s="18" t="str">
        <f t="shared" si="6"/>
        <v>🟡HOLD</v>
      </c>
      <c r="Q45" s="7" t="s">
        <v>71</v>
      </c>
    </row>
    <row r="46" spans="1:17" x14ac:dyDescent="0.3">
      <c r="A46" s="16" t="s">
        <v>60</v>
      </c>
      <c r="B46" s="9">
        <f>('2025'!S46 - '2024'!S46) / '2024'!S46</f>
        <v>4.0707593892770025E-2</v>
      </c>
      <c r="C46" s="9">
        <f>('2025'!T46 - '2024'!T46) / '2024'!T46</f>
        <v>-4.2206849625765477</v>
      </c>
      <c r="D46" s="9">
        <f>('2025'!E46 - '2024'!E46) / '2024'!E46</f>
        <v>2.9019152640732992E-4</v>
      </c>
      <c r="E46" s="9">
        <f>'2025'!I46 - '2024'!I46</f>
        <v>7.9999999999999516E-4</v>
      </c>
      <c r="F46" s="9">
        <f>'2025'!J46-'2024'!J46</f>
        <v>1.1200000000000015E-2</v>
      </c>
      <c r="G46" s="9">
        <f>'2025'!K46-'2024'!K46</f>
        <v>-1.2699999999999989E-2</v>
      </c>
      <c r="H46" s="9">
        <f>'2025'!L46-'2024'!L46</f>
        <v>7.0000000000003393E-4</v>
      </c>
      <c r="I46" s="9" t="str">
        <f t="shared" si="2"/>
        <v>Overhyped</v>
      </c>
      <c r="J46" s="9">
        <f t="shared" si="8"/>
        <v>-1.3932290590524568</v>
      </c>
      <c r="K46" s="7" t="str">
        <f>IF('2025'!N46&gt;'2025'!R46,"Overvalued","Undervalued")</f>
        <v>Undervalued</v>
      </c>
      <c r="L46" s="7" t="str">
        <f t="shared" si="9"/>
        <v>Weak</v>
      </c>
      <c r="M46" s="17" t="str">
        <f t="shared" si="7"/>
        <v>▲ Bullish</v>
      </c>
      <c r="N46" s="7" t="str">
        <f t="shared" si="4"/>
        <v>High Interest</v>
      </c>
      <c r="O46" s="7" t="str">
        <f>IF(AND(J46&gt;0.2,'2025'!P46&gt;0.15,'2025'!Q46&lt;1.2),"Strong Buy",
 IF('NIFTY 50 Smart Analysis'!J46&gt;0.1,"Buy","Avoid"))</f>
        <v>Avoid</v>
      </c>
      <c r="P46" s="20" t="str">
        <f t="shared" si="6"/>
        <v>🔴SELL</v>
      </c>
      <c r="Q46" s="7" t="s">
        <v>84</v>
      </c>
    </row>
    <row r="47" spans="1:17" x14ac:dyDescent="0.3">
      <c r="A47" s="16" t="s">
        <v>61</v>
      </c>
      <c r="B47" s="9">
        <f>('2025'!S47 - '2024'!S47) / '2024'!S47</f>
        <v>-5.6671045224244701E-3</v>
      </c>
      <c r="C47" s="9">
        <f>('2025'!T47 - '2024'!T47) / '2024'!T47</f>
        <v>1.0600775193798451</v>
      </c>
      <c r="D47" s="9">
        <f>('2025'!E47 - '2024'!E47) / '2024'!E47</f>
        <v>-6.757707185558548E-2</v>
      </c>
      <c r="E47" s="9">
        <f>'2025'!I47 - '2024'!I47</f>
        <v>-6.2599999999999989E-2</v>
      </c>
      <c r="F47" s="9">
        <f>'2025'!J47-'2024'!J47</f>
        <v>7.0500000000000007E-2</v>
      </c>
      <c r="G47" s="9">
        <f>'2025'!K47-'2024'!K47</f>
        <v>-9.1999999999999998E-3</v>
      </c>
      <c r="H47" s="9">
        <f>'2025'!L47-'2024'!L47</f>
        <v>-3.0000000000002247E-4</v>
      </c>
      <c r="I47" s="9" t="str">
        <f t="shared" si="2"/>
        <v>Fundamentally Strong</v>
      </c>
      <c r="J47" s="9">
        <f t="shared" si="8"/>
        <v>0.32894444766727843</v>
      </c>
      <c r="K47" s="7" t="str">
        <f>IF('2025'!N47&gt;'2025'!R47,"Overvalued","Undervalued")</f>
        <v>Overvalued</v>
      </c>
      <c r="L47" s="7" t="str">
        <f t="shared" si="9"/>
        <v>Weak</v>
      </c>
      <c r="M47" s="21" t="str">
        <f t="shared" si="7"/>
        <v>▼ Bearish</v>
      </c>
      <c r="N47" s="7" t="str">
        <f t="shared" si="4"/>
        <v>Low Interest</v>
      </c>
      <c r="O47" s="7" t="str">
        <f>IF(AND(J47&gt;0.2,'2025'!P47&gt;0.15,'2025'!Q47&lt;1.2),"Strong Buy",
 IF('NIFTY 50 Smart Analysis'!J47&gt;0.1,"Buy","Avoid"))</f>
        <v>Strong Buy</v>
      </c>
      <c r="P47" s="19" t="str">
        <f t="shared" si="6"/>
        <v>🟢BUY</v>
      </c>
      <c r="Q47" s="7" t="s">
        <v>79</v>
      </c>
    </row>
    <row r="48" spans="1:17" x14ac:dyDescent="0.3">
      <c r="A48" s="16" t="s">
        <v>62</v>
      </c>
      <c r="B48" s="9">
        <f>('2025'!S48 - '2024'!S48) / '2024'!S48</f>
        <v>0.19299584997259417</v>
      </c>
      <c r="C48" s="9">
        <f>('2025'!T48 - '2024'!T48) / '2024'!T48</f>
        <v>-4.5480549199084667E-2</v>
      </c>
      <c r="D48" s="9">
        <f>('2025'!E48 - '2024'!E48) / '2024'!E48</f>
        <v>0.12155353781419552</v>
      </c>
      <c r="E48" s="9">
        <f>'2025'!I48 - '2024'!I48</f>
        <v>-0.03</v>
      </c>
      <c r="F48" s="9">
        <f>'2025'!J48-'2024'!J48</f>
        <v>4.5499999999999999E-2</v>
      </c>
      <c r="G48" s="9">
        <f>'2025'!K48-'2024'!K48</f>
        <v>-1.5500000000000014E-2</v>
      </c>
      <c r="H48" s="9">
        <f>'2025'!L48-'2024'!L48</f>
        <v>0</v>
      </c>
      <c r="I48" s="9" t="str">
        <f t="shared" si="2"/>
        <v>Overhyped</v>
      </c>
      <c r="J48" s="9">
        <f t="shared" si="8"/>
        <v>8.9689612862568338E-2</v>
      </c>
      <c r="K48" s="7" t="str">
        <f>IF('2025'!N48&gt;'2025'!R48,"Overvalued","Undervalued")</f>
        <v>Overvalued</v>
      </c>
      <c r="L48" s="7" t="str">
        <f t="shared" si="9"/>
        <v>Weak</v>
      </c>
      <c r="M48" s="17" t="str">
        <f t="shared" si="7"/>
        <v>▲ Bullish</v>
      </c>
      <c r="N48" s="7" t="str">
        <f t="shared" si="4"/>
        <v>Low Interest</v>
      </c>
      <c r="O48" s="7" t="str">
        <f>IF(AND(J48&gt;0.2,'2025'!P48&gt;0.15,'2025'!Q48&lt;1.2),"Strong Buy",
 IF('NIFTY 50 Smart Analysis'!J48&gt;0.1,"Buy","Avoid"))</f>
        <v>Avoid</v>
      </c>
      <c r="P48" s="20" t="str">
        <f t="shared" si="6"/>
        <v>🔴SELL</v>
      </c>
      <c r="Q48" s="7" t="s">
        <v>92</v>
      </c>
    </row>
    <row r="49" spans="1:17" x14ac:dyDescent="0.3">
      <c r="A49" s="16" t="s">
        <v>63</v>
      </c>
      <c r="B49" s="9">
        <f>('2025'!S49 - '2024'!S49) / '2024'!S49</f>
        <v>0.30327272727272725</v>
      </c>
      <c r="C49" s="9">
        <f>('2025'!T49 - '2024'!T49) / '2024'!T49</f>
        <v>6.7704807041299936E-3</v>
      </c>
      <c r="D49" s="9">
        <f>('2025'!E49 - '2024'!E49) / '2024'!E49</f>
        <v>-0.48389849940128915</v>
      </c>
      <c r="E49" s="9">
        <f>'2025'!I49 - '2024'!I49</f>
        <v>-0.12180000000000002</v>
      </c>
      <c r="F49" s="9">
        <f>'2025'!J49-'2024'!J49</f>
        <v>7.3000000000000009E-2</v>
      </c>
      <c r="G49" s="9">
        <f>'2025'!K49-'2024'!K49</f>
        <v>4.880000000000001E-2</v>
      </c>
      <c r="H49" s="9">
        <f>'2025'!L49-'2024'!L49</f>
        <v>0</v>
      </c>
      <c r="I49" s="9" t="str">
        <f t="shared" si="2"/>
        <v>Fundamentally Strong</v>
      </c>
      <c r="J49" s="9">
        <f t="shared" si="8"/>
        <v>-5.7951763808143965E-2</v>
      </c>
      <c r="K49" s="7" t="str">
        <f>IF('2025'!N49&gt;'2025'!R49,"Overvalued","Undervalued")</f>
        <v>Overvalued</v>
      </c>
      <c r="L49" s="7" t="str">
        <f t="shared" si="9"/>
        <v>Weak</v>
      </c>
      <c r="M49" s="17" t="str">
        <f t="shared" si="7"/>
        <v>▼ Bearish</v>
      </c>
      <c r="N49" s="7" t="str">
        <f t="shared" si="4"/>
        <v>Low Interest</v>
      </c>
      <c r="O49" s="7" t="str">
        <f>IF(AND(J49&gt;0.2,'2025'!P49&gt;0.15,'2025'!Q49&lt;1.2),"Strong Buy",
 IF('NIFTY 50 Smart Analysis'!J49&gt;0.1,"Buy","Avoid"))</f>
        <v>Avoid</v>
      </c>
      <c r="P49" s="20" t="str">
        <f t="shared" si="6"/>
        <v>🔴SELL</v>
      </c>
      <c r="Q49" s="7" t="s">
        <v>93</v>
      </c>
    </row>
    <row r="50" spans="1:17" x14ac:dyDescent="0.3">
      <c r="A50" s="16" t="s">
        <v>64</v>
      </c>
      <c r="B50" s="9">
        <f>('2025'!S50 - '2024'!S50) / '2024'!S50</f>
        <v>1.390534213346872E-2</v>
      </c>
      <c r="C50" s="9">
        <f>('2025'!T50 - '2024'!T50) / '2024'!T50</f>
        <v>-0.13790149892933617</v>
      </c>
      <c r="D50" s="9">
        <f>('2025'!E50 - '2024'!E50) / '2024'!E50</f>
        <v>-4.8259584025988914E-2</v>
      </c>
      <c r="E50" s="9">
        <f>'2025'!I50 - '2024'!I50</f>
        <v>-2.7599999999999986E-2</v>
      </c>
      <c r="F50" s="9">
        <f>'2025'!J50-'2024'!J50</f>
        <v>3.6000000000000004E-2</v>
      </c>
      <c r="G50" s="9">
        <f>'2025'!K50-'2024'!K50</f>
        <v>-1.799999999999996E-3</v>
      </c>
      <c r="H50" s="9">
        <f>'2025'!L50-'2024'!L50</f>
        <v>-6.6000000000000503E-3</v>
      </c>
      <c r="I50" s="9" t="str">
        <f t="shared" si="2"/>
        <v>Overhyped</v>
      </c>
      <c r="J50" s="9">
        <f t="shared" si="8"/>
        <v>-5.7418580273952115E-2</v>
      </c>
      <c r="K50" s="7" t="str">
        <f>IF('2025'!N50&gt;'2025'!R50,"Overvalued","Undervalued")</f>
        <v>Overvalued</v>
      </c>
      <c r="L50" s="7" t="str">
        <f t="shared" si="9"/>
        <v>Weak</v>
      </c>
      <c r="M50" s="17" t="str">
        <f t="shared" si="7"/>
        <v>▼ Bearish</v>
      </c>
      <c r="N50" s="7" t="str">
        <f t="shared" si="4"/>
        <v>Low Interest</v>
      </c>
      <c r="O50" s="7" t="str">
        <f>IF(AND(J50&gt;0.2,'2025'!P50&gt;0.15,'2025'!Q50&lt;1.2),"Strong Buy",
 IF('NIFTY 50 Smart Analysis'!J50&gt;0.1,"Buy","Avoid"))</f>
        <v>Avoid</v>
      </c>
      <c r="P50" s="20" t="str">
        <f>IF(D51&gt;0.1,"🟢BUY",
 IF(D51&gt;0,"🟡HOLD",
 "🔴SELL"))</f>
        <v>🔴SELL</v>
      </c>
      <c r="Q50" s="7" t="s">
        <v>78</v>
      </c>
    </row>
    <row r="51" spans="1:17" x14ac:dyDescent="0.3">
      <c r="A51" s="16" t="s">
        <v>65</v>
      </c>
      <c r="B51" s="9">
        <f>('2025'!S51 - '2024'!S51) / '2024'!S51</f>
        <v>-7.4866310160427805E-3</v>
      </c>
      <c r="C51" s="9">
        <f>('2025'!T51 - '2024'!T51) / '2024'!T51</f>
        <v>0.18333333333333332</v>
      </c>
      <c r="D51" s="9">
        <f>('2025'!E51 - '2024'!E51) / '2024'!E51</f>
        <v>-0.52784202099270594</v>
      </c>
      <c r="E51" s="9">
        <f>'2025'!I51 - '2024'!I51</f>
        <v>3.9900000000000005E-2</v>
      </c>
      <c r="F51" s="9">
        <f>'2025'!J51-'2024'!J51</f>
        <v>-1.819999999999998E-2</v>
      </c>
      <c r="G51" s="9">
        <f>'2025'!K51-'2024'!K51</f>
        <v>-2.0399999999999988E-2</v>
      </c>
      <c r="H51" s="9">
        <f>'2025'!L51-'2024'!L51</f>
        <v>-2.5000000000000577E-3</v>
      </c>
      <c r="I51" s="9" t="str">
        <f t="shared" si="2"/>
        <v>Fundamentally Strong</v>
      </c>
      <c r="J51" s="9">
        <f t="shared" si="8"/>
        <v>-0.11733177289180513</v>
      </c>
      <c r="K51" s="7" t="str">
        <f>IF('2025'!N51&gt;'2025'!R51,"Overvalued","Undervalued")</f>
        <v>Undervalued</v>
      </c>
      <c r="L51" s="7" t="str">
        <f t="shared" si="9"/>
        <v>Weak</v>
      </c>
      <c r="M51" s="17" t="str">
        <f t="shared" si="7"/>
        <v>▼ Bearish</v>
      </c>
      <c r="N51" s="7" t="str">
        <f t="shared" si="4"/>
        <v>High Interest</v>
      </c>
      <c r="O51" s="7" t="str">
        <f>IF(AND(J51&gt;0.2,'2025'!P51&gt;0.15,'2025'!Q51&lt;1.2),"Strong Buy",
 IF('NIFTY 50 Smart Analysis'!J51&gt;0.1,"Buy","Avoid"))</f>
        <v>Avoid</v>
      </c>
      <c r="P51" s="20" t="str">
        <f>IF(D52&gt;0.1,"🟢BUY",
 IF(D52&gt;0,"🟡HOLD",
 "🔴SELL"))</f>
        <v>🔴SELL</v>
      </c>
      <c r="Q51" s="7" t="s">
        <v>79</v>
      </c>
    </row>
  </sheetData>
  <conditionalFormatting sqref="B2:B5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{42B66A72-7724-4B20-8710-881508677934}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{A11883AE-5991-4682-80AB-566EACD58C17}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{0528308C-EB8F-4336-8818-5DA678ADA4AB}</x14:id>
        </ext>
      </extLst>
    </cfRule>
  </conditionalFormatting>
  <conditionalFormatting sqref="H2:H5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{187FCA58-917C-447E-84DE-6D3AD96DD3F8}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{29D0643C-558F-4CB3-A2DE-8CE46325BABE}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{0C534ABB-A4B8-4A35-905D-93089AA3C638}</x14:id>
        </ext>
      </extLst>
    </cfRule>
    <cfRule type="dataBar" priority="4">
      <dataBar>
        <cfvo type="percent" val="0"/>
        <cfvo type="max"/>
        <color rgb="FF638EC6"/>
      </dataBar>
      <extLst>
        <ext xmlns:x14="http://schemas.microsoft.com/office/spreadsheetml/2009/9/main" uri="{B025F937-C7B1-47D3-B67F-A62EFF666E3E}">
          <x14:id>{378C5B73-1992-41B0-BADE-A9F6460C65A1}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{2EE7F619-F080-4D64-B520-2F0EB4510844}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{C299D163-BF07-4958-8693-5D014511AEFF}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{A3E46E47-1C48-4CBC-AEE2-C58B1F3BAD24}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B66A72-7724-4B20-8710-881508677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1883AE-5991-4682-80AB-566EACD58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28308C-EB8F-4336-8818-5DA678ADA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B2:B51</xm:sqref>
        </x14:conditionalFormatting>
        <x14:conditionalFormatting xmlns:xm="http://schemas.microsoft.com/office/excel/2006/main">
          <x14:cfRule type="dataBar" id="{187FCA58-917C-447E-84DE-6D3AD96DD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D0643C-558F-4CB3-A2DE-8CE46325BABE}">
            <x14:dataBar minLength="0" maxLength="100" gradient="0" axisPosition="none">
              <x14:cfvo type="autoMin"/>
              <x14:cfvo type="autoMax"/>
              <x14:negativeFillColor rgb="FFFF0000"/>
            </x14:dataBar>
          </x14:cfRule>
          <x14:cfRule type="dataBar" id="{0C534ABB-A4B8-4A35-905D-93089AA3C6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78C5B73-1992-41B0-BADE-A9F6460C65A1}">
            <x14:dataBar minLength="0" maxLength="100" gradient="0" axisPosition="none">
              <x14:cfvo type="percent">
                <xm:f>0</xm:f>
              </x14:cfvo>
              <x14:cfvo type="max"/>
              <x14:negativeFillColor rgb="FFFF0000"/>
            </x14:dataBar>
          </x14:cfRule>
          <x14:cfRule type="dataBar" id="{2EE7F619-F080-4D64-B520-2F0EB4510844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14:cfRule type="dataBar" id="{C299D163-BF07-4958-8693-5D014511AEFF}">
            <x14:dataBar minLength="0" maxLength="100" gradient="0">
              <x14:cfvo type="autoMin"/>
              <x14:cfvo type="max"/>
              <x14:negativeFillColor rgb="FFFF0000"/>
              <x14:axisColor rgb="FF000000"/>
            </x14:dataBar>
          </x14:cfRule>
          <x14:cfRule type="dataBar" id="{A3E46E47-1C48-4CBC-AEE2-C58B1F3BAD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076F-C0AC-4860-8836-027A7846CA2D}">
  <dimension ref="A1:B12"/>
  <sheetViews>
    <sheetView workbookViewId="0">
      <selection activeCell="G22" sqref="G22"/>
    </sheetView>
  </sheetViews>
  <sheetFormatPr defaultRowHeight="14.4" x14ac:dyDescent="0.3"/>
  <cols>
    <col min="1" max="1" width="22.77734375" bestFit="1" customWidth="1"/>
    <col min="2" max="2" width="25.77734375" bestFit="1" customWidth="1"/>
  </cols>
  <sheetData>
    <row r="1" spans="1:2" x14ac:dyDescent="0.3">
      <c r="A1" s="28" t="s">
        <v>119</v>
      </c>
      <c r="B1" t="s">
        <v>121</v>
      </c>
    </row>
    <row r="2" spans="1:2" x14ac:dyDescent="0.3">
      <c r="A2" s="29" t="s">
        <v>71</v>
      </c>
      <c r="B2" s="30">
        <v>0.11411525095698627</v>
      </c>
    </row>
    <row r="3" spans="1:2" x14ac:dyDescent="0.3">
      <c r="A3" s="29" t="s">
        <v>77</v>
      </c>
      <c r="B3" s="30">
        <v>0.48348197362235096</v>
      </c>
    </row>
    <row r="4" spans="1:2" x14ac:dyDescent="0.3">
      <c r="A4" s="29" t="s">
        <v>92</v>
      </c>
      <c r="B4" s="30">
        <v>8.9689612862568338E-2</v>
      </c>
    </row>
    <row r="5" spans="1:2" x14ac:dyDescent="0.3">
      <c r="A5" s="29" t="s">
        <v>73</v>
      </c>
      <c r="B5" s="30">
        <v>0.15928564056967853</v>
      </c>
    </row>
    <row r="6" spans="1:2" x14ac:dyDescent="0.3">
      <c r="A6" s="29" t="s">
        <v>82</v>
      </c>
      <c r="B6" s="30">
        <v>7.7612949971769429E-2</v>
      </c>
    </row>
    <row r="7" spans="1:2" x14ac:dyDescent="0.3">
      <c r="A7" s="29" t="s">
        <v>68</v>
      </c>
      <c r="B7" s="30">
        <v>0.18908196464402871</v>
      </c>
    </row>
    <row r="8" spans="1:2" x14ac:dyDescent="0.3">
      <c r="A8" s="29" t="s">
        <v>80</v>
      </c>
      <c r="B8" s="30">
        <v>0.61376534924321313</v>
      </c>
    </row>
    <row r="9" spans="1:2" x14ac:dyDescent="0.3">
      <c r="A9" s="29" t="s">
        <v>79</v>
      </c>
      <c r="B9" s="30">
        <v>9.5273382531052234E-2</v>
      </c>
    </row>
    <row r="10" spans="1:2" x14ac:dyDescent="0.3">
      <c r="A10" s="29" t="s">
        <v>90</v>
      </c>
      <c r="B10" s="30">
        <v>0.12413379178480609</v>
      </c>
    </row>
    <row r="11" spans="1:2" x14ac:dyDescent="0.3">
      <c r="A11" s="29" t="s">
        <v>74</v>
      </c>
      <c r="B11" s="30">
        <v>0.28540543460563966</v>
      </c>
    </row>
    <row r="12" spans="1:2" x14ac:dyDescent="0.3">
      <c r="A12" s="29" t="s">
        <v>120</v>
      </c>
      <c r="B12" s="30">
        <v>0.17800018563194406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02C4-0ED7-4928-828E-E19AC503D4EB}">
  <sheetPr codeName="Sheet4"/>
  <dimension ref="A1:Q15"/>
  <sheetViews>
    <sheetView tabSelected="1" zoomScale="80" workbookViewId="0">
      <selection activeCell="J22" sqref="J22"/>
    </sheetView>
  </sheetViews>
  <sheetFormatPr defaultRowHeight="14.4" x14ac:dyDescent="0.3"/>
  <cols>
    <col min="1" max="1" width="37.5546875" style="1" bestFit="1" customWidth="1"/>
    <col min="2" max="2" width="25" style="13" bestFit="1" customWidth="1"/>
    <col min="3" max="3" width="12.6640625" style="13" bestFit="1" customWidth="1"/>
    <col min="4" max="4" width="12.44140625" style="13" customWidth="1"/>
    <col min="5" max="5" width="10.5546875" style="13" bestFit="1" customWidth="1"/>
    <col min="6" max="6" width="10.88671875" style="13" bestFit="1" customWidth="1"/>
    <col min="7" max="7" width="14" style="13" bestFit="1" customWidth="1"/>
    <col min="8" max="8" width="16.77734375" style="13" bestFit="1" customWidth="1"/>
    <col min="9" max="9" width="26.88671875" style="1" bestFit="1" customWidth="1"/>
    <col min="10" max="10" width="18.109375" style="13" bestFit="1" customWidth="1"/>
    <col min="11" max="11" width="27.88671875" style="1" bestFit="1" customWidth="1"/>
    <col min="12" max="12" width="22.6640625" style="1" bestFit="1" customWidth="1"/>
    <col min="13" max="13" width="11.21875" style="1" bestFit="1" customWidth="1"/>
    <col min="14" max="14" width="15.5546875" style="1" bestFit="1" customWidth="1"/>
    <col min="15" max="15" width="11.6640625" style="1" bestFit="1" customWidth="1"/>
    <col min="16" max="16" width="11.109375" style="1" bestFit="1" customWidth="1"/>
    <col min="17" max="17" width="12" style="1" bestFit="1" customWidth="1"/>
    <col min="18" max="16384" width="8.88671875" style="1"/>
  </cols>
  <sheetData>
    <row r="1" spans="1:17" ht="15.6" x14ac:dyDescent="0.3">
      <c r="A1" s="4" t="s">
        <v>0</v>
      </c>
      <c r="B1" s="22" t="s">
        <v>103</v>
      </c>
      <c r="C1" s="22" t="s">
        <v>104</v>
      </c>
      <c r="D1" s="22" t="s">
        <v>105</v>
      </c>
      <c r="E1" s="22" t="s">
        <v>106</v>
      </c>
      <c r="F1" s="22" t="s">
        <v>107</v>
      </c>
      <c r="G1" s="22" t="s">
        <v>108</v>
      </c>
      <c r="H1" s="22" t="s">
        <v>109</v>
      </c>
      <c r="I1" s="4" t="s">
        <v>115</v>
      </c>
      <c r="J1" s="22" t="s">
        <v>110</v>
      </c>
      <c r="K1" s="4" t="s">
        <v>111</v>
      </c>
      <c r="L1" s="4" t="s">
        <v>112</v>
      </c>
      <c r="M1" s="4" t="s">
        <v>116</v>
      </c>
      <c r="N1" s="4" t="s">
        <v>113</v>
      </c>
      <c r="O1" s="4" t="s">
        <v>114</v>
      </c>
      <c r="P1" s="4" t="s">
        <v>117</v>
      </c>
      <c r="Q1" s="27" t="s">
        <v>118</v>
      </c>
    </row>
    <row r="2" spans="1:17" x14ac:dyDescent="0.3">
      <c r="A2" s="7" t="s">
        <v>24</v>
      </c>
      <c r="B2" s="9" cm="1">
        <f t="array" ref="B2:P2">VLOOKUP(A2,'NIFTY 50 Smart Analysis'!A1:P51,{2,3,4,5,6,7,8,9,10,11,12,13,14,15,16},0)</f>
        <v>0.1171098440890055</v>
      </c>
      <c r="C2" s="9">
        <v>6.4676616915422883E-2</v>
      </c>
      <c r="D2" s="9">
        <v>0.29607046070460719</v>
      </c>
      <c r="E2" s="9">
        <v>4.1999999999999815E-3</v>
      </c>
      <c r="F2" s="9">
        <v>1.6999999999999793E-3</v>
      </c>
      <c r="G2" s="9">
        <v>-6.0000000000000053E-3</v>
      </c>
      <c r="H2" s="9">
        <v>9.9999999999988987E-5</v>
      </c>
      <c r="I2" s="7" t="str">
        <v>Overhyped</v>
      </c>
      <c r="J2" s="9">
        <v>0.15928564056967853</v>
      </c>
      <c r="K2" s="7" t="str">
        <v>Overvalued</v>
      </c>
      <c r="L2" s="7" t="str">
        <v>Weak</v>
      </c>
      <c r="M2" s="7" t="str">
        <v>▲ Bullish</v>
      </c>
      <c r="N2" s="7" t="str">
        <v>High Interest</v>
      </c>
      <c r="O2" s="7" t="str">
        <v>Buy</v>
      </c>
      <c r="P2" s="7" t="str">
        <v>🟡HOLD</v>
      </c>
      <c r="Q2" s="7" t="str">
        <f>VLOOKUP(A2,'NIFTY 50 Smart Analysis'!A1:Q51,17,0)</f>
        <v>Defense Electronics</v>
      </c>
    </row>
    <row r="7" spans="1:17" ht="15.6" x14ac:dyDescent="0.3">
      <c r="K7" s="25" t="s">
        <v>115</v>
      </c>
      <c r="L7" s="24" t="str">
        <f>VLOOKUP(A2,A1:P2,9,0)</f>
        <v>Overhyped</v>
      </c>
    </row>
    <row r="8" spans="1:17" ht="15.6" x14ac:dyDescent="0.3">
      <c r="K8" s="26" t="s">
        <v>110</v>
      </c>
      <c r="L8" s="23">
        <f>VLOOKUP(A2,A2:P3,10,0)</f>
        <v>0.15928564056967853</v>
      </c>
    </row>
    <row r="9" spans="1:17" ht="15.6" x14ac:dyDescent="0.3">
      <c r="K9" s="25" t="s">
        <v>111</v>
      </c>
      <c r="L9" s="23" t="str">
        <f>VLOOKUP(A2,A1:P2,11,0)</f>
        <v>Overvalued</v>
      </c>
    </row>
    <row r="10" spans="1:17" ht="15.6" x14ac:dyDescent="0.3">
      <c r="K10" s="25" t="s">
        <v>112</v>
      </c>
      <c r="L10" s="23" t="str">
        <f>VLOOKUP(A2,A1:P2,12,0)</f>
        <v>Weak</v>
      </c>
    </row>
    <row r="11" spans="1:17" ht="15.6" x14ac:dyDescent="0.3">
      <c r="K11" s="25" t="s">
        <v>116</v>
      </c>
      <c r="L11" s="23" t="str">
        <f>VLOOKUP(A2,A1:P2,13,0)</f>
        <v>▲ Bullish</v>
      </c>
    </row>
    <row r="12" spans="1:17" ht="15.6" x14ac:dyDescent="0.3">
      <c r="K12" s="25" t="s">
        <v>113</v>
      </c>
      <c r="L12" s="23" t="str">
        <f>VLOOKUP(A2,A1:P2,14,0)</f>
        <v>High Interest</v>
      </c>
    </row>
    <row r="13" spans="1:17" ht="15.6" x14ac:dyDescent="0.3">
      <c r="K13" s="25" t="s">
        <v>114</v>
      </c>
      <c r="L13" s="23" t="str">
        <f>VLOOKUP(A2,A1:P2,15,0)</f>
        <v>Buy</v>
      </c>
    </row>
    <row r="14" spans="1:17" ht="15.6" x14ac:dyDescent="0.3">
      <c r="K14" s="25" t="s">
        <v>117</v>
      </c>
      <c r="L14" s="23" t="str">
        <f>VLOOKUP(A2,A1:P2,16,0)</f>
        <v>🟡HOLD</v>
      </c>
    </row>
    <row r="15" spans="1:17" ht="15.6" x14ac:dyDescent="0.3">
      <c r="K15" s="25" t="s">
        <v>118</v>
      </c>
      <c r="L15" s="24" t="str">
        <f>VLOOKUP(A2,A1:Q2,17,0)</f>
        <v>Defense Electronics</v>
      </c>
    </row>
  </sheetData>
  <conditionalFormatting sqref="L7">
    <cfRule type="cellIs" dxfId="5" priority="12" operator="equal">
      <formula>"▼ Bearish"</formula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{A0F6E4AF-7B7F-4327-93E8-E5ECAE514992}</x14:id>
        </ext>
      </extLst>
    </cfRule>
  </conditionalFormatting>
  <conditionalFormatting sqref="L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{D8ADAA1C-D2C7-49C6-BFF3-756D235AC1EC}</x14:id>
        </ext>
      </extLst>
    </cfRule>
  </conditionalFormatting>
  <conditionalFormatting sqref="L1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4" priority="10" operator="equal">
      <formula>"▲ Bullish"</formula>
    </cfRule>
    <cfRule type="cellIs" dxfId="3" priority="11" operator="equal">
      <formula>"▼ Bearish"</formula>
    </cfRule>
  </conditionalFormatting>
  <conditionalFormatting sqref="L14">
    <cfRule type="cellIs" dxfId="2" priority="1" operator="equal">
      <formula>"🟢BUY"</formula>
    </cfRule>
    <cfRule type="cellIs" dxfId="1" priority="2" operator="equal">
      <formula>"🔴SELL"</formula>
    </cfRule>
    <cfRule type="cellIs" dxfId="0" priority="3" operator="equal">
      <formula>"🟡HOLD"</formula>
    </cfRule>
    <cfRule type="iconSet" priority="6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ignoredErrors>
    <ignoredError sqref="L8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F6E4AF-7B7F-4327-93E8-E5ECAE5149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8ADAA1C-D2C7-49C6-BFF3-756D235AC1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ABE03B-0B23-45DB-8AF8-7E540FD6CF88}">
          <x14:formula1>
            <xm:f>'NIFTY 50 Smart Analysis'!$A$2:$A$51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2025</vt:lpstr>
      <vt:lpstr>NIFTY 50 Smart Analysis</vt:lpstr>
      <vt:lpstr>Sector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singh</dc:creator>
  <cp:lastModifiedBy>happy singh</cp:lastModifiedBy>
  <cp:lastPrinted>2026-03-30T09:13:51Z</cp:lastPrinted>
  <dcterms:created xsi:type="dcterms:W3CDTF">2026-03-23T08:58:56Z</dcterms:created>
  <dcterms:modified xsi:type="dcterms:W3CDTF">2026-04-10T04:45:36Z</dcterms:modified>
</cp:coreProperties>
</file>